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" sheetId="1" state="visible" r:id="rId3"/>
    <sheet name="Codebook" sheetId="2" state="visible" r:id="rId4"/>
    <sheet name="Calcs stored as tex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<sst xmlns="http://schemas.openxmlformats.org/spreadsheetml/2006/main" count="4795" uniqueCount="625">
  <si>
    <t xml:space="preserve">Secondary entry</t>
  </si>
  <si>
    <t xml:space="preserve">From Codebooks</t>
  </si>
  <si>
    <t xml:space="preserve">Survey</t>
  </si>
  <si>
    <t xml:space="preserve">Section</t>
  </si>
  <si>
    <t xml:space="preserve">Item</t>
  </si>
  <si>
    <t xml:space="preserve">Type</t>
  </si>
  <si>
    <t xml:space="preserve">Question</t>
  </si>
  <si>
    <t xml:space="preserve">Label</t>
  </si>
  <si>
    <t xml:space="preserve">Base</t>
  </si>
  <si>
    <t xml:space="preserve">Variable</t>
  </si>
  <si>
    <t xml:space="preserve">Variable_Label</t>
  </si>
  <si>
    <t xml:space="preserve">Values</t>
  </si>
  <si>
    <t xml:space="preserve">Value_Labels</t>
  </si>
  <si>
    <t xml:space="preserve">ATPW127</t>
  </si>
  <si>
    <t xml:space="preserve">PRELOAD</t>
  </si>
  <si>
    <t xml:space="preserve">PRE</t>
  </si>
  <si>
    <t xml:space="preserve">NULL</t>
  </si>
  <si>
    <t xml:space="preserve">QKEY</t>
  </si>
  <si>
    <t xml:space="preserve">Unique ID</t>
  </si>
  <si>
    <t xml:space="preserve">101493</t>
  </si>
  <si>
    <t xml:space="preserve">Min. Val.</t>
  </si>
  <si>
    <t xml:space="preserve">202201054267</t>
  </si>
  <si>
    <t xml:space="preserve">Max. Val</t>
  </si>
  <si>
    <t xml:space="preserve">WEIGHT_W127</t>
  </si>
  <si>
    <t xml:space="preserve">Wave 127 weight</t>
  </si>
  <si>
    <t xml:space="preserve">0.016021</t>
  </si>
  <si>
    <t xml:space="preserve">4.869712</t>
  </si>
  <si>
    <t xml:space="preserve">INTERVIEW_START_W127</t>
  </si>
  <si>
    <t xml:space="preserve">Interview start time</t>
  </si>
  <si>
    <t xml:space="preserve">2023-05-15 19:18:36</t>
  </si>
  <si>
    <t xml:space="preserve">2023-05-21 22:58:55</t>
  </si>
  <si>
    <t xml:space="preserve">INTERVIEW_END_W127</t>
  </si>
  <si>
    <t xml:space="preserve">Interview end time</t>
  </si>
  <si>
    <t xml:space="preserve">2023-05-15 19:23:01</t>
  </si>
  <si>
    <t xml:space="preserve">2023-05-21 23:42:59</t>
  </si>
  <si>
    <t xml:space="preserve">DEVICE_TYPE_W127</t>
  </si>
  <si>
    <t xml:space="preserve">The device used in the latest access of the survey link</t>
  </si>
  <si>
    <t xml:space="preserve">Laptop/PC</t>
  </si>
  <si>
    <t xml:space="preserve">Smartphone</t>
  </si>
  <si>
    <t xml:space="preserve">Tablet</t>
  </si>
  <si>
    <t xml:space="preserve">SmartTV</t>
  </si>
  <si>
    <t xml:space="preserve">None of the above</t>
  </si>
  <si>
    <t xml:space="preserve">LANG_W127</t>
  </si>
  <si>
    <t xml:space="preserve"> Language of interview</t>
  </si>
  <si>
    <t xml:space="preserve">English</t>
  </si>
  <si>
    <t xml:space="preserve">Spanish</t>
  </si>
  <si>
    <t xml:space="preserve">FORM_W127</t>
  </si>
  <si>
    <t xml:space="preserve">Wave 127 form assignment</t>
  </si>
  <si>
    <t xml:space="preserve">Form 1</t>
  </si>
  <si>
    <t xml:space="preserve">Form 2</t>
  </si>
  <si>
    <t xml:space="preserve">XTABLET_W127</t>
  </si>
  <si>
    <t xml:space="preserve">Flag to identify non-internet households that were provided a tablet</t>
  </si>
  <si>
    <t xml:space="preserve">Tablet HH</t>
  </si>
  <si>
    <t xml:space="preserve">Non-Tablet HH</t>
  </si>
  <si>
    <t xml:space="preserve">Internet</t>
  </si>
  <si>
    <t xml:space="preserve">Single-choice</t>
  </si>
  <si>
    <t xml:space="preserve">all respondents</t>
  </si>
  <si>
    <t xml:space="preserve">DIGCONF_W127</t>
  </si>
  <si>
    <t xml:space="preserve">Overall, how confident do you feel using computers, smartphones, or other electronic devices to do the things you need to do online?</t>
  </si>
  <si>
    <t xml:space="preserve">Very confident</t>
  </si>
  <si>
    <t xml:space="preserve">Somewhat confident</t>
  </si>
  <si>
    <t xml:space="preserve">Only a little confident</t>
  </si>
  <si>
    <t xml:space="preserve">all respondents respondents</t>
  </si>
  <si>
    <t xml:space="preserve">Not at all confident</t>
  </si>
  <si>
    <t xml:space="preserve">Refused</t>
  </si>
  <si>
    <t xml:space="preserve">TECHHELP_W127</t>
  </si>
  <si>
    <t xml:space="preserve">Which of the following best describes you, even if neither is exactly right? When I get a new computer, smartphone, or other electronic device, I usually…</t>
  </si>
  <si>
    <t xml:space="preserve">Need someone else to set it up or show me how to use it</t>
  </si>
  <si>
    <t xml:space="preserve">Am able to set it up and learn how to use it on my own</t>
  </si>
  <si>
    <t xml:space="preserve">SMARTPHONE_W127</t>
  </si>
  <si>
    <t xml:space="preserve">Do you have a smartphone?</t>
  </si>
  <si>
    <t xml:space="preserve">Yes, I have a smartphone</t>
  </si>
  <si>
    <t xml:space="preserve">No, I do not have a smartphone</t>
  </si>
  <si>
    <t xml:space="preserve">internet users</t>
  </si>
  <si>
    <t xml:space="preserve">SNSUSE_W127</t>
  </si>
  <si>
    <t xml:space="preserve">Do you ever use social media sites like Facebook, Twitter, or Instagram?</t>
  </si>
  <si>
    <t xml:space="preserve">Yes, I use social media sites</t>
  </si>
  <si>
    <t xml:space="preserve">No, I do not use social media sites</t>
  </si>
  <si>
    <t xml:space="preserve">Series</t>
  </si>
  <si>
    <t xml:space="preserve">SM9_a_W127</t>
  </si>
  <si>
    <t xml:space="preserve">How well do you think each of the following statements describes social media? Social media…    Helps give a voice to underrepresented groups</t>
  </si>
  <si>
    <t xml:space="preserve">Very well</t>
  </si>
  <si>
    <t xml:space="preserve">Somewhat well</t>
  </si>
  <si>
    <t xml:space="preserve">Not too well</t>
  </si>
  <si>
    <t xml:space="preserve">Not at all well</t>
  </si>
  <si>
    <t xml:space="preserve">SM9_b_W127</t>
  </si>
  <si>
    <t xml:space="preserve">How well do you think each of the following statements describes social media? Social media…    Distracts people from issues that are truly important</t>
  </si>
  <si>
    <t xml:space="preserve">SM9_c_W127</t>
  </si>
  <si>
    <t xml:space="preserve">How well do you think each of the following statements describes social media? Social media…    Highlights important issues that might not get a lot of attention otherwise</t>
  </si>
  <si>
    <t xml:space="preserve">SM9_d_W127</t>
  </si>
  <si>
    <t xml:space="preserve">How well do you think each of the following statements describes social media? Social media…    Makes it easier to hold powerful people accountable for their actions</t>
  </si>
  <si>
    <t xml:space="preserve">SM9_e_W127</t>
  </si>
  <si>
    <t xml:space="preserve">How well do you think each of the following statements describes social media? Social media…    Makes people think they are making a difference when they really aren’t</t>
  </si>
  <si>
    <t xml:space="preserve">social media users</t>
  </si>
  <si>
    <t xml:space="preserve">SM10_a_W127</t>
  </si>
  <si>
    <t xml:space="preserve">Have you done any of the following activities on social media in the past year?    Changed your profile picture to show your support for a cause</t>
  </si>
  <si>
    <t xml:space="preserve">Have done this in the past year</t>
  </si>
  <si>
    <t xml:space="preserve">Have not done this in the past year</t>
  </si>
  <si>
    <t xml:space="preserve">SM10_b_W127</t>
  </si>
  <si>
    <t xml:space="preserve">Have you done any of the following activities on social media in the past year?    Used hashtags related to a political or social issue</t>
  </si>
  <si>
    <t xml:space="preserve">SM10_c_W127</t>
  </si>
  <si>
    <t xml:space="preserve">Have you done any of the following activities on social media in the past year?    Taken part in a group that shares an interest in an issue or cause</t>
  </si>
  <si>
    <t xml:space="preserve">SM10_d_W127</t>
  </si>
  <si>
    <t xml:space="preserve">Have you done any of the following activities on social media in the past year?    Encouraged others to take action on issues that are important to you</t>
  </si>
  <si>
    <t xml:space="preserve">SM10_e_W127</t>
  </si>
  <si>
    <t xml:space="preserve">Have you done any of the following activities on social media in the past year?    Looked for information about rallies or protests happening in your area</t>
  </si>
  <si>
    <t xml:space="preserve">SM11_a_W127</t>
  </si>
  <si>
    <t xml:space="preserve">How important is social media to you personally when it comes to the following things?    Finding other people who share your views about important issues</t>
  </si>
  <si>
    <t xml:space="preserve">Very important</t>
  </si>
  <si>
    <t xml:space="preserve">Somewhat important</t>
  </si>
  <si>
    <t xml:space="preserve">Not very important</t>
  </si>
  <si>
    <t xml:space="preserve">Not important at all</t>
  </si>
  <si>
    <t xml:space="preserve">SM11_b_W127</t>
  </si>
  <si>
    <t xml:space="preserve">How important is social media to you personally when it comes to the following things?    Getting involved with political or social issues that are important to you</t>
  </si>
  <si>
    <t xml:space="preserve">SM11_c_W127</t>
  </si>
  <si>
    <t xml:space="preserve">How important is social media to you personally when it comes to the following things?    Giving you a venue to express your political opinions</t>
  </si>
  <si>
    <t xml:space="preserve">Digital Literacy</t>
  </si>
  <si>
    <t xml:space="preserve">Single-choice w/ correct</t>
  </si>
  <si>
    <t xml:space="preserve">DKQ1_W127</t>
  </si>
  <si>
    <t xml:space="preserve">As of April 2023, which of the following companies did Elon Musk run?</t>
  </si>
  <si>
    <t xml:space="preserve">Tesla and Twitter</t>
  </si>
  <si>
    <t xml:space="preserve">Uber and Snapchat</t>
  </si>
  <si>
    <t xml:space="preserve">Twitter and Uber</t>
  </si>
  <si>
    <t xml:space="preserve">Snapchat and Tesla</t>
  </si>
  <si>
    <t xml:space="preserve">Not sure</t>
  </si>
  <si>
    <t xml:space="preserve">DKQ2_W127</t>
  </si>
  <si>
    <t xml:space="preserve">If a website uses cookies, it means that the site can…</t>
  </si>
  <si>
    <t xml:space="preserve">Protect your computer from getting viruses</t>
  </si>
  <si>
    <t xml:space="preserve">Send you pop-up advertisements</t>
  </si>
  <si>
    <t xml:space="preserve">Look at files saved on your computer</t>
  </si>
  <si>
    <t xml:space="preserve">Track your visits and activity on the site</t>
  </si>
  <si>
    <t xml:space="preserve">DKQ3_W127</t>
  </si>
  <si>
    <t xml:space="preserve">What is a “deepfake”?</t>
  </si>
  <si>
    <t xml:space="preserve">A seemingly real, computer-generated image, video or audio of something that did not occur</t>
  </si>
  <si>
    <t xml:space="preserve">A text-based chatbot that tricks people into thinking that they are talking to another person</t>
  </si>
  <si>
    <t xml:space="preserve">A system that records and protects information online</t>
  </si>
  <si>
    <t xml:space="preserve">A program that makes it look like people are using the internet from a different location</t>
  </si>
  <si>
    <t xml:space="preserve">DKQ4_W127</t>
  </si>
  <si>
    <t xml:space="preserve">In 2021, Facebook changed its company name to…</t>
  </si>
  <si>
    <t xml:space="preserve">Meta</t>
  </si>
  <si>
    <t xml:space="preserve">Alphabet</t>
  </si>
  <si>
    <t xml:space="preserve">Cisco</t>
  </si>
  <si>
    <t xml:space="preserve">Horizon</t>
  </si>
  <si>
    <t xml:space="preserve">DKQ5_W127</t>
  </si>
  <si>
    <t xml:space="preserve">Which of the following passwords is the most secure?</t>
  </si>
  <si>
    <t xml:space="preserve">SportsFan1983</t>
  </si>
  <si>
    <t xml:space="preserve">WTh!58iLf2?9zD</t>
  </si>
  <si>
    <t xml:space="preserve">abc12.6.48</t>
  </si>
  <si>
    <t xml:space="preserve">1234567890</t>
  </si>
  <si>
    <t xml:space="preserve">DKQ7_W127</t>
  </si>
  <si>
    <t xml:space="preserve">How do large language models, such as ChatGPT, come up with answers to questions users submit?</t>
  </si>
  <si>
    <t xml:space="preserve">Randomly generate sentences that reorganize and reuse keywords found in the submitted question</t>
  </si>
  <si>
    <t xml:space="preserve">Search the internet and summarize what the top results say on that topic</t>
  </si>
  <si>
    <t xml:space="preserve">Create a response based on word patterns and relationships it previously learned from text pulled from the internet</t>
  </si>
  <si>
    <t xml:space="preserve">Use a pre-written response that plugs in keywords from the question without any understanding of what was being asked</t>
  </si>
  <si>
    <t xml:space="preserve">DKQ8_W127</t>
  </si>
  <si>
    <t xml:space="preserve">Some websites and online services use a security process known as two-step or two-factor authentication. Which of the following images is an example of two-factor authentication?</t>
  </si>
  <si>
    <t xml:space="preserve">Picture of 2-step code</t>
  </si>
  <si>
    <t xml:space="preserve">Picture of captcha</t>
  </si>
  <si>
    <t xml:space="preserve">Picture of security questions</t>
  </si>
  <si>
    <t xml:space="preserve">Picture of reCAPTCHA grid</t>
  </si>
  <si>
    <t xml:space="preserve">DKQ9_W127</t>
  </si>
  <si>
    <t xml:space="preserve">Websites in the United States are prohibited from collecting data online from children under what age without a parent’s consent?</t>
  </si>
  <si>
    <t xml:space="preserve">5</t>
  </si>
  <si>
    <t xml:space="preserve">10</t>
  </si>
  <si>
    <t xml:space="preserve">13</t>
  </si>
  <si>
    <t xml:space="preserve">16</t>
  </si>
  <si>
    <t xml:space="preserve">18</t>
  </si>
  <si>
    <t xml:space="preserve">DKQ10_W127</t>
  </si>
  <si>
    <t xml:space="preserve">Does the United States have a national privacy law that sets common standards for what companies can do with all data their products and services collect?</t>
  </si>
  <si>
    <t xml:space="preserve">Yes, it does</t>
  </si>
  <si>
    <t xml:space="preserve">No, it does not</t>
  </si>
  <si>
    <t xml:space="preserve">Digital Privacy</t>
  </si>
  <si>
    <t xml:space="preserve">PRIVFEEL_a_W127</t>
  </si>
  <si>
    <t xml:space="preserve">When you think about managing your privacy online, do you feel…    Overwhelmed by figuring out what you need to do</t>
  </si>
  <si>
    <t xml:space="preserve">Yes, I do</t>
  </si>
  <si>
    <t xml:space="preserve">No, I do not</t>
  </si>
  <si>
    <t xml:space="preserve">PRIVFEEL_b_W127</t>
  </si>
  <si>
    <t xml:space="preserve">When you think about managing your privacy online, do you feel…    Skeptical that anything you do will make much difference</t>
  </si>
  <si>
    <t xml:space="preserve">PRIVFEEL_c_W127</t>
  </si>
  <si>
    <t xml:space="preserve">When you think about managing your privacy online, do you feel…    Confident those who have access to your personal information will do what is right</t>
  </si>
  <si>
    <t xml:space="preserve">PRIVFEEL_d_W127</t>
  </si>
  <si>
    <t xml:space="preserve">When you think about managing your privacy online, do you feel…    You trust yourself to make the right decisions about your personal information</t>
  </si>
  <si>
    <t xml:space="preserve">PRIVFEEL_e_W127</t>
  </si>
  <si>
    <t xml:space="preserve">When you think about managing your privacy online, do you feel…    Like privacy is not that big of a deal to you</t>
  </si>
  <si>
    <t xml:space="preserve">PRIVWRY_a_W127</t>
  </si>
  <si>
    <t xml:space="preserve">How worried are you about each of the following?    People stealing your identity or personal information</t>
  </si>
  <si>
    <t xml:space="preserve">Very worried</t>
  </si>
  <si>
    <t xml:space="preserve">Somewhat worried</t>
  </si>
  <si>
    <t xml:space="preserve">Not too worried</t>
  </si>
  <si>
    <t xml:space="preserve">Not at all worried</t>
  </si>
  <si>
    <t xml:space="preserve">PRIVWRY_b_W127</t>
  </si>
  <si>
    <t xml:space="preserve">How worried are you about each of the following?    Companies selling your information to others without you knowing</t>
  </si>
  <si>
    <t xml:space="preserve">PRIVWRY_c_W127</t>
  </si>
  <si>
    <t xml:space="preserve">How worried are you about each of the following?    Law enforcement monitoring what you do online</t>
  </si>
  <si>
    <t xml:space="preserve">CYBCONF_W127</t>
  </si>
  <si>
    <t xml:space="preserve">How confident are you in knowing what steps to take if your personal information is hacked or stolen online?</t>
  </si>
  <si>
    <t xml:space="preserve">Not too confident</t>
  </si>
  <si>
    <t xml:space="preserve">DB1_a_W127</t>
  </si>
  <si>
    <t xml:space="preserve">In the last 12 months, have you had someone…    Put fraudulent charges on your debit or credit card</t>
  </si>
  <si>
    <t xml:space="preserve">Yes, this has happened in the last 12 months</t>
  </si>
  <si>
    <t xml:space="preserve">No, this has not happened in the last 12 months</t>
  </si>
  <si>
    <t xml:space="preserve">DB1_b_W127</t>
  </si>
  <si>
    <t xml:space="preserve">In the last 12 months, have you had someone...    Take over your email or social media account without your permission [Backcoded to set tablet HHs to 3, offline]</t>
  </si>
  <si>
    <t xml:space="preserve">In the last 12 months, have you had someone…    Take over your email or social media account without your permission [Backcoded to set tablet HHs to 3, offline]</t>
  </si>
  <si>
    <t xml:space="preserve">No (Offline: does not have internet, backcoded)</t>
  </si>
  <si>
    <t xml:space="preserve">DB1_c_W127</t>
  </si>
  <si>
    <t xml:space="preserve">In the last 12 months, have you had someone…    Attempt to open a line of credit or apply for a loan using your name</t>
  </si>
  <si>
    <t xml:space="preserve">CONCERNCO_W127</t>
  </si>
  <si>
    <t xml:space="preserve">How concerned are you about how companies are using the data they collect about you?</t>
  </si>
  <si>
    <t xml:space="preserve">Very concerned</t>
  </si>
  <si>
    <t xml:space="preserve">Somewhat concerned</t>
  </si>
  <si>
    <t xml:space="preserve">Not too concerned</t>
  </si>
  <si>
    <t xml:space="preserve">Not at all concerned</t>
  </si>
  <si>
    <t xml:space="preserve">CONTROLCO_W127</t>
  </si>
  <si>
    <t xml:space="preserve">How much control do you think you have over the data that companies collect about you?</t>
  </si>
  <si>
    <t xml:space="preserve">A great deal of control</t>
  </si>
  <si>
    <t xml:space="preserve">Some control</t>
  </si>
  <si>
    <t xml:space="preserve">Very little control</t>
  </si>
  <si>
    <t xml:space="preserve">No control</t>
  </si>
  <si>
    <t xml:space="preserve">UNDERSTANDCO_W127</t>
  </si>
  <si>
    <t xml:space="preserve">How much do you feel you understand what companies are doing with the data they collect about you?</t>
  </si>
  <si>
    <t xml:space="preserve">A great deal</t>
  </si>
  <si>
    <t xml:space="preserve">Some</t>
  </si>
  <si>
    <t xml:space="preserve">Very little</t>
  </si>
  <si>
    <t xml:space="preserve">Nothing</t>
  </si>
  <si>
    <t xml:space="preserve">CONCERNGOV_W127</t>
  </si>
  <si>
    <t xml:space="preserve">How concerned are you about how the government is using the data it collects about you?</t>
  </si>
  <si>
    <t xml:space="preserve">CONTROLGOV_W127</t>
  </si>
  <si>
    <t xml:space="preserve">How much control do you think you have over the data the government collects about you?</t>
  </si>
  <si>
    <t xml:space="preserve">UNDERSTANDGOV_W127</t>
  </si>
  <si>
    <t xml:space="preserve">How much do you feel you understand what the government is doing with the data it collects about you?</t>
  </si>
  <si>
    <t xml:space="preserve">AIPRIV1_a_W127</t>
  </si>
  <si>
    <t xml:space="preserve">How acceptable do you think each of the following uses of people’s information is?    A smart speaker analyzing people’s voices to learn to recognize who is speaking</t>
  </si>
  <si>
    <t xml:space="preserve">Very acceptable</t>
  </si>
  <si>
    <t xml:space="preserve">Somewhat acceptable</t>
  </si>
  <si>
    <t xml:space="preserve">Somewhat unacceptable</t>
  </si>
  <si>
    <t xml:space="preserve">Very unacceptable</t>
  </si>
  <si>
    <t xml:space="preserve">AIPRIV1_b_W127</t>
  </si>
  <si>
    <t xml:space="preserve">How acceptable do you think each of the following uses of people’s information is?    Social media companies analyzing what people do on their sites to deliver personalized content</t>
  </si>
  <si>
    <t xml:space="preserve">AIPRIV1_c_W127</t>
  </si>
  <si>
    <t xml:space="preserve">How acceptable do you think each of the following uses of people’s information is?    Using computer programs, or algorithms, to determine who should be eligible for public assistance</t>
  </si>
  <si>
    <t xml:space="preserve">PPREAD_W127</t>
  </si>
  <si>
    <t xml:space="preserve">How often do you click “agree” right away, without reading what these policies say?</t>
  </si>
  <si>
    <t xml:space="preserve">Always or almost always</t>
  </si>
  <si>
    <t xml:space="preserve">Often</t>
  </si>
  <si>
    <t xml:space="preserve">Sometimes</t>
  </si>
  <si>
    <t xml:space="preserve">Rarely</t>
  </si>
  <si>
    <t xml:space="preserve">Never</t>
  </si>
  <si>
    <t xml:space="preserve">PPEFF_W127</t>
  </si>
  <si>
    <t xml:space="preserve">How effective do you think privacy policies are as a way for companies to communicate how they are using people’s data?</t>
  </si>
  <si>
    <t xml:space="preserve">Extremely effective</t>
  </si>
  <si>
    <t xml:space="preserve">Very effective</t>
  </si>
  <si>
    <t xml:space="preserve">Somewhat effective</t>
  </si>
  <si>
    <t xml:space="preserve">Not too effective</t>
  </si>
  <si>
    <t xml:space="preserve">Not at all effective</t>
  </si>
  <si>
    <t xml:space="preserve">PPUSE_W127</t>
  </si>
  <si>
    <t xml:space="preserve">Which of the following comes closer to your view, even if neither is exactly right? Privacy policies are …</t>
  </si>
  <si>
    <t xml:space="preserve">Just something I have to get past in order to use a product or service</t>
  </si>
  <si>
    <t xml:space="preserve">A meaningful part of my decision to use a product or service</t>
  </si>
  <si>
    <t xml:space="preserve">SMLEAD_a_W127</t>
  </si>
  <si>
    <t xml:space="preserve">How much do you trust that leaders of social media companies will…    Publicly admit mistakes and take responsibility when they misuse or compromise users’ personal data</t>
  </si>
  <si>
    <t xml:space="preserve">Not at all</t>
  </si>
  <si>
    <t xml:space="preserve">SMLEAD_b_W127</t>
  </si>
  <si>
    <t xml:space="preserve">How much do you trust that leaders of social media companies will…    Be held accountable by the government if they misuse or compromise users’ personal data</t>
  </si>
  <si>
    <t xml:space="preserve">SMLEAD_c_W127</t>
  </si>
  <si>
    <t xml:space="preserve">How much do you trust that leaders of social media companies will…    Not sell users’ personal data to others without their consent</t>
  </si>
  <si>
    <t xml:space="preserve">TIKTOK_W127</t>
  </si>
  <si>
    <t xml:space="preserve">Do you use TikTok?</t>
  </si>
  <si>
    <t xml:space="preserve">Yes</t>
  </si>
  <si>
    <t xml:space="preserve">No</t>
  </si>
  <si>
    <t xml:space="preserve">TIKTHRT_W127</t>
  </si>
  <si>
    <t xml:space="preserve">How big of a threat do you think TikTok is to national security in the United States?</t>
  </si>
  <si>
    <t xml:space="preserve">Major threat</t>
  </si>
  <si>
    <t xml:space="preserve">Minor threat</t>
  </si>
  <si>
    <t xml:space="preserve">Not a threat</t>
  </si>
  <si>
    <t xml:space="preserve">TIKDATA_W127</t>
  </si>
  <si>
    <t xml:space="preserve">How concerned are you about how TikTok uses data it collects from its users?</t>
  </si>
  <si>
    <t xml:space="preserve">ONLTSK_a_W127</t>
  </si>
  <si>
    <t xml:space="preserve">Do you ever do each of the following?    Buy things online</t>
  </si>
  <si>
    <t xml:space="preserve">ONLTSK_b_W127</t>
  </si>
  <si>
    <t xml:space="preserve">Do you ever do each of the following?    Use online banking sites or apps</t>
  </si>
  <si>
    <t xml:space="preserve">online shoppers</t>
  </si>
  <si>
    <t xml:space="preserve">PUBWIFI_a_W127</t>
  </si>
  <si>
    <t xml:space="preserve">Do you ever use public WiFi in places such as cafes, libraries, or stores to do each of the following?    Buy things online</t>
  </si>
  <si>
    <t xml:space="preserve">Yes, I do this using public WiFi</t>
  </si>
  <si>
    <t xml:space="preserve">No, I do not do this using public WiFi</t>
  </si>
  <si>
    <t xml:space="preserve">online bankers</t>
  </si>
  <si>
    <t xml:space="preserve">PUBWIFI_b_W127</t>
  </si>
  <si>
    <t xml:space="preserve">Do you ever use public WiFi in places such as cafes, libraries, or stores to do each of the following?    Use online banking sites or apps</t>
  </si>
  <si>
    <t xml:space="preserve">DIGHABT1_W127</t>
  </si>
  <si>
    <t xml:space="preserve">Have you ever stopped using a digital device, website or app because you were worried about how your personal information was being used?</t>
  </si>
  <si>
    <t xml:space="preserve">Yes, I have</t>
  </si>
  <si>
    <t xml:space="preserve">No, I have not</t>
  </si>
  <si>
    <t xml:space="preserve">DIGHABT2_a_W127</t>
  </si>
  <si>
    <t xml:space="preserve">Do you ever do any of the following to manage your privacy online?    Decline or turn off cookies or other tracking on websites</t>
  </si>
  <si>
    <t xml:space="preserve">DIGHABT2_c_W127</t>
  </si>
  <si>
    <t xml:space="preserve">Do you ever do any of the following to manage your privacy online?    Use messaging apps or services that encrypt your private communication with others</t>
  </si>
  <si>
    <t xml:space="preserve">DIGHABT2_d_W127</t>
  </si>
  <si>
    <t xml:space="preserve">Do you ever do any of the following to manage your privacy online?    Use a browser or search engine that doesn’t keep track of what you’re doing</t>
  </si>
  <si>
    <t xml:space="preserve">DIGHABT2_e_W127</t>
  </si>
  <si>
    <t xml:space="preserve">Do you ever do any of the following to manage your privacy online?    Change your social media privacy settings</t>
  </si>
  <si>
    <t xml:space="preserve">PWFEEL_a_W127</t>
  </si>
  <si>
    <t xml:space="preserve">Do you ever feel…    Overwhelmed by the amount of passwords you have to keep track of?</t>
  </si>
  <si>
    <t xml:space="preserve">Yes, I feel this way</t>
  </si>
  <si>
    <t xml:space="preserve">No, I do not feel this way</t>
  </si>
  <si>
    <t xml:space="preserve">PWFEEL_b_W127</t>
  </si>
  <si>
    <t xml:space="preserve">Do you ever feel…    Anxious about whether the passwords you use are strong and secure?</t>
  </si>
  <si>
    <t xml:space="preserve">PWPREF_W127</t>
  </si>
  <si>
    <t xml:space="preserve">When picking a password, do you generally create one that you think will be…</t>
  </si>
  <si>
    <t xml:space="preserve">Easier to remember, even if it may be less secure</t>
  </si>
  <si>
    <t xml:space="preserve">More secure, even if it may be harder to remember</t>
  </si>
  <si>
    <t xml:space="preserve">PWMAN_W127</t>
  </si>
  <si>
    <t xml:space="preserve">Do you use a password manager, such as LastPass or iCloud Keychain, to help keep track of your online passwords?</t>
  </si>
  <si>
    <t xml:space="preserve">Yes, I use a password manager</t>
  </si>
  <si>
    <t xml:space="preserve">No, I do not use a password manager</t>
  </si>
  <si>
    <t xml:space="preserve">PWEXP_a_W127</t>
  </si>
  <si>
    <t xml:space="preserve">In thinking about how you access your different online accounts, how often do you…    Reset your passwords</t>
  </si>
  <si>
    <t xml:space="preserve">PWEXP_b_W127</t>
  </si>
  <si>
    <t xml:space="preserve">In thinking about how you access your different online accounts, how often do you…    Save passwords in your browser</t>
  </si>
  <si>
    <t xml:space="preserve">PWEXP_c_W127</t>
  </si>
  <si>
    <t xml:space="preserve">In thinking about how you access your different online accounts, how often do you…    Write your passwords down</t>
  </si>
  <si>
    <t xml:space="preserve">smartphone users</t>
  </si>
  <si>
    <t xml:space="preserve">SPACCESS_W127</t>
  </si>
  <si>
    <t xml:space="preserve">Do you use a passcode, fingerprint, face recognition, or other security feature to unlock your smartphone?</t>
  </si>
  <si>
    <t xml:space="preserve">UPDATEPREF_a_W127</t>
  </si>
  <si>
    <t xml:space="preserve">How do you typically handle software updates for each of the following?    Your smartphone operating system</t>
  </si>
  <si>
    <t xml:space="preserve">I set them to update automatically</t>
  </si>
  <si>
    <t xml:space="preserve">I update them when I’m notified, as soon as it’s convenient</t>
  </si>
  <si>
    <t xml:space="preserve">I update them when I’m notified, but only when I am required to</t>
  </si>
  <si>
    <t xml:space="preserve">I never install updates</t>
  </si>
  <si>
    <t xml:space="preserve">UPDATEPREF_b_W127</t>
  </si>
  <si>
    <t xml:space="preserve">How do you typically handle software updates for each of the following?    Specific apps on your smartphone</t>
  </si>
  <si>
    <t xml:space="preserve">PRIVACYREG_W127</t>
  </si>
  <si>
    <t xml:space="preserve">How much do you feel you understand the laws and regulations that are currently in place to protect your data privacy?</t>
  </si>
  <si>
    <t xml:space="preserve">GOVREGV1_W127</t>
  </si>
  <si>
    <t xml:space="preserve">How much government regulation do you think there should be of what companies can do with their customers’ personal information?</t>
  </si>
  <si>
    <t xml:space="preserve">More regulation than now</t>
  </si>
  <si>
    <t xml:space="preserve">Less regulation than now</t>
  </si>
  <si>
    <t xml:space="preserve">About the same amount as now</t>
  </si>
  <si>
    <t xml:space="preserve">KIDPRIV1_a_W127</t>
  </si>
  <si>
    <t xml:space="preserve">How concerned are you about each of the following?    Advertisers using data about what children do online to target ads to them</t>
  </si>
  <si>
    <t xml:space="preserve">KIDPRIV1_b_W127</t>
  </si>
  <si>
    <t xml:space="preserve">How concerned are you about each of the following?    Online games or gaming apps tracking what children are doing on them</t>
  </si>
  <si>
    <t xml:space="preserve">KIDPRIV1_c_W127</t>
  </si>
  <si>
    <t xml:space="preserve">How concerned are you about each of the following?    Social media sites and apps knowing personal information about children</t>
  </si>
  <si>
    <t xml:space="preserve">KIDPRIV2_a_W127</t>
  </si>
  <si>
    <t xml:space="preserve">How much responsibility do you think each of the following should have for protecting children’s online privacy?    The government</t>
  </si>
  <si>
    <t xml:space="preserve">A great deal of responsibility</t>
  </si>
  <si>
    <t xml:space="preserve">Some responsibility</t>
  </si>
  <si>
    <t xml:space="preserve">Very little responsibility</t>
  </si>
  <si>
    <t xml:space="preserve">No responsibility at all</t>
  </si>
  <si>
    <t xml:space="preserve">KIDPRIV2_b_W127</t>
  </si>
  <si>
    <t xml:space="preserve">How much responsibility do you think each of the following should have for protecting children’s online privacy?    Technology companies</t>
  </si>
  <si>
    <t xml:space="preserve">KIDPRIV2_c_W127</t>
  </si>
  <si>
    <t xml:space="preserve">How much responsibility do you think each of the following should have for protecting children’s online privacy?    Parents</t>
  </si>
  <si>
    <t xml:space="preserve">form 1 respondents</t>
  </si>
  <si>
    <t xml:space="preserve">ACCPTLWF1_a_W127</t>
  </si>
  <si>
    <t xml:space="preserve">How acceptable do you think it is for law enforcement to do each of the following during a criminal investigation?    Obtain footage from cameras people install at their residences, like video doorbells</t>
  </si>
  <si>
    <t xml:space="preserve">ACCPTLWF1_b_W127</t>
  </si>
  <si>
    <t xml:space="preserve">How acceptable do you think it is for law enforcement to do each of the following during a criminal investigation?    Require third parties to turn over users’ private chats, messages or calls</t>
  </si>
  <si>
    <t xml:space="preserve">ACCPTLWF1_c_W127</t>
  </si>
  <si>
    <t xml:space="preserve">How acceptable do you think it is for law enforcement to do each of the following during a criminal investigation?    Break the passcode on a user’s phone to get access to its contents</t>
  </si>
  <si>
    <t xml:space="preserve">ACCPTLWF1_d_W127</t>
  </si>
  <si>
    <t xml:space="preserve">How acceptable do you think it is for law enforcement to do each of the following during a criminal investigation?    Use information from cell phone towers to track where someone is</t>
  </si>
  <si>
    <t xml:space="preserve">form 2 respondents</t>
  </si>
  <si>
    <t xml:space="preserve">ACCPTLWF2_a_W127</t>
  </si>
  <si>
    <t xml:space="preserve">How acceptable do you think it is for law enforcement to do each of the following during a criminal investigation where public safety is at risk?    Obtain footage from cameras people install at their residences, like video doorbells</t>
  </si>
  <si>
    <t xml:space="preserve">ACCPTLWF2_b_W127</t>
  </si>
  <si>
    <t xml:space="preserve">How acceptable do you think it is for law enforcement to do each of the following during a criminal investigation where public safety is at risk?    Require third parties to turn over users’ private chats, messages or calls</t>
  </si>
  <si>
    <t xml:space="preserve">ACCPTLWF2_c_W127</t>
  </si>
  <si>
    <t xml:space="preserve">How acceptable do you think it is for law enforcement to do each of the following during a criminal investigation where public safety is at risk?    Break the passcode on a user’s phone to get access to its contents</t>
  </si>
  <si>
    <t xml:space="preserve">ACCPTLWF2_d_W127</t>
  </si>
  <si>
    <t xml:space="preserve">How acceptable do you think it is for law enforcement to do each of the following during a criminal investigation where public safety is at risk?    Use information from cell phone towers to track where someone is</t>
  </si>
  <si>
    <t xml:space="preserve">AI_HEARD_W127</t>
  </si>
  <si>
    <t xml:space="preserve">How much have you heard or read about AI?</t>
  </si>
  <si>
    <t xml:space="preserve">A lot</t>
  </si>
  <si>
    <t xml:space="preserve">A little</t>
  </si>
  <si>
    <t xml:space="preserve">Nothing at all</t>
  </si>
  <si>
    <t xml:space="preserve">heard of AI</t>
  </si>
  <si>
    <t xml:space="preserve">AIPRIV2_a_W127</t>
  </si>
  <si>
    <t xml:space="preserve">As companies use AI to collect and analyze personal details and information, do you think this information will be used in ways…    People would not be comfortable with</t>
  </si>
  <si>
    <t xml:space="preserve">Definitely will happen</t>
  </si>
  <si>
    <t xml:space="preserve">Probably will happen</t>
  </si>
  <si>
    <t xml:space="preserve">Probably will not happen</t>
  </si>
  <si>
    <t xml:space="preserve">Definitely will not happen</t>
  </si>
  <si>
    <t xml:space="preserve">AIPRIV2_b_W127</t>
  </si>
  <si>
    <t xml:space="preserve">As companies use AI to collect and analyze personal details and information, do you think this information will be used in ways…    That were not originally intended</t>
  </si>
  <si>
    <t xml:space="preserve">AIPRIV2_c_W127</t>
  </si>
  <si>
    <t xml:space="preserve">As companies use AI to collect and analyze personal details and information, do you think this information will be used in ways…    That could make people’s lives easier</t>
  </si>
  <si>
    <t xml:space="preserve">AIPRIV3_W127</t>
  </si>
  <si>
    <t xml:space="preserve">How much do you trust companies to make responsible decisions about how they use AI in their products?</t>
  </si>
  <si>
    <t xml:space="preserve">KIDS1_W127</t>
  </si>
  <si>
    <t xml:space="preserve">Are you the parent or guardian of any children under age 18?</t>
  </si>
  <si>
    <t xml:space="preserve">Patriotism</t>
  </si>
  <si>
    <t xml:space="preserve">FLAG1_W127</t>
  </si>
  <si>
    <t xml:space="preserve">Thinking about what it means to be a good citizen, how important is it to display the American flag?</t>
  </si>
  <si>
    <t xml:space="preserve">Extremely important</t>
  </si>
  <si>
    <t xml:space="preserve">Not too important</t>
  </si>
  <si>
    <t xml:space="preserve">Not at all important</t>
  </si>
  <si>
    <t xml:space="preserve">FLAG2_W127</t>
  </si>
  <si>
    <t xml:space="preserve">How proud, if at all, does the American flag make you feel?</t>
  </si>
  <si>
    <t xml:space="preserve">Extremely proud</t>
  </si>
  <si>
    <t xml:space="preserve">Very proud</t>
  </si>
  <si>
    <t xml:space="preserve">Somewhat proud</t>
  </si>
  <si>
    <t xml:space="preserve">Not too proud</t>
  </si>
  <si>
    <t xml:space="preserve">Not at all proud</t>
  </si>
  <si>
    <t xml:space="preserve">FLAG3A_W127</t>
  </si>
  <si>
    <t xml:space="preserve">Do you ever display the American flag outside your home or on your car?</t>
  </si>
  <si>
    <t xml:space="preserve">Yes, always</t>
  </si>
  <si>
    <t xml:space="preserve">Yes, sometimes</t>
  </si>
  <si>
    <t xml:space="preserve">FLAG3B_W127</t>
  </si>
  <si>
    <t xml:space="preserve">Do you ever display any flags other than the American flag outside your home or on your car?</t>
  </si>
  <si>
    <t xml:space="preserve">FLAG4_W127</t>
  </si>
  <si>
    <t xml:space="preserve">How many of your neighbors, if any, display the American flag outside their homes or on their cars?</t>
  </si>
  <si>
    <t xml:space="preserve">All of them</t>
  </si>
  <si>
    <t xml:space="preserve">Some of them</t>
  </si>
  <si>
    <t xml:space="preserve">None of them</t>
  </si>
  <si>
    <t xml:space="preserve">Black Lives Matter</t>
  </si>
  <si>
    <t xml:space="preserve">SMBLM_a_W127</t>
  </si>
  <si>
    <t xml:space="preserve">Have you ever...    Attended a Black Lives Matter protest</t>
  </si>
  <si>
    <t xml:space="preserve">SMBLM_b_W127</t>
  </si>
  <si>
    <t xml:space="preserve">Have you ever...    Seen content on social media related to Black Lives Matter</t>
  </si>
  <si>
    <t xml:space="preserve">SMBLM_c_W127</t>
  </si>
  <si>
    <t xml:space="preserve">Have you ever...    Posted or shared things on social media in support of Black Lives Matter</t>
  </si>
  <si>
    <t xml:space="preserve">SMBLM_d_W127</t>
  </si>
  <si>
    <t xml:space="preserve">Have you ever...    Posted or shared things on social media in opposition to Black Lives Matter</t>
  </si>
  <si>
    <t xml:space="preserve">POLPROB_W127</t>
  </si>
  <si>
    <t xml:space="preserve">How much of a problem do you think police violence against Black people is in the United States today?</t>
  </si>
  <si>
    <t xml:space="preserve">Major problem</t>
  </si>
  <si>
    <t xml:space="preserve">Minor problem</t>
  </si>
  <si>
    <t xml:space="preserve">Not a problem</t>
  </si>
  <si>
    <t xml:space="preserve">those who said police violence is a problem</t>
  </si>
  <si>
    <t xml:space="preserve">MEDPOLEFF_a_W127</t>
  </si>
  <si>
    <t xml:space="preserve">How effective do you think each of the following is for bringing attention to police violence against Black people in the United States?    Social media</t>
  </si>
  <si>
    <t xml:space="preserve">MEDPOLEFF_b_W127</t>
  </si>
  <si>
    <t xml:space="preserve">How effective do you think each of the following is for bringing attention to police violence against Black people in the United States?    News organizations</t>
  </si>
  <si>
    <t xml:space="preserve">Supplemental</t>
  </si>
  <si>
    <t xml:space="preserve">SUP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</si>
  <si>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</si>
  <si>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</si>
  <si>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</si>
  <si>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</si>
  <si>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</si>
  <si>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</si>
  <si>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</si>
  <si>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</si>
  <si>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</si>
  <si>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</si>
  <si>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</si>
  <si>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</si>
  <si>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</si>
  <si>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</si>
  <si>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</si>
  <si>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</si>
  <si>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</si>
  <si>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</si>
  <si>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</si>
  <si>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</si>
  <si>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</si>
  <si>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</si>
  <si>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</si>
  <si>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</si>
  <si>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</si>
  <si>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</si>
  <si>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</si>
  <si>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</si>
  <si>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</si>
  <si>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</si>
  <si>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</si>
  <si>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</si>
  <si>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</si>
  <si>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</si>
  <si>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</si>
  <si>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</si>
  <si>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</si>
  <si>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</si>
  <si>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</si>
  <si>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</si>
  <si>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</si>
  <si>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</si>
  <si>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</si>
  <si>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</si>
  <si>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</si>
  <si>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</si>
  <si>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</si>
  <si>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Associate's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</si>
  <si>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</si>
  <si>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</si>
  <si>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</si>
  <si>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</si>
  <si>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</si>
  <si>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</si>
  <si>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</si>
  <si>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</si>
  <si>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</si>
  <si>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</si>
  <si>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</si>
  <si>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</si>
  <si>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</si>
  <si>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</si>
  <si>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</si>
  <si>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</si>
  <si>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</si>
  <si>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</si>
  <si>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</si>
  <si>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</si>
  <si>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</si>
  <si>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</si>
  <si>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</si>
  <si>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</si>
  <si>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</si>
  <si>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</si>
  <si>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</si>
  <si>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</si>
  <si>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</si>
  <si>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</si>
  <si>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</si>
  <si>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</si>
  <si>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</si>
  <si>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Other</t>
  </si>
  <si>
    <t xml:space="preserve">Asian non-Hispanic</t>
  </si>
  <si>
    <t xml:space="preserve">F_CITIZEN</t>
  </si>
  <si>
    <t xml:space="preserve">Citizenship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</si>
  <si>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</si>
  <si>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</si>
  <si>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</si>
  <si>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</si>
  <si>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</si>
  <si>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</si>
  <si>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</si>
  <si>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</si>
  <si>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</si>
  <si>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</si>
  <si>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</si>
  <si>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</si>
  <si>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</si>
  <si>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</si>
  <si>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</si>
  <si>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</si>
  <si>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</si>
  <si>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</si>
  <si>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</si>
  <si>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</si>
  <si>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</si>
  <si>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</si>
  <si>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</si>
  <si>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</si>
  <si>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</si>
  <si>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</si>
  <si>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</si>
  <si>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</si>
  <si>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</si>
  <si>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</si>
  <si>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</si>
  <si>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</si>
  <si>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</si>
  <si>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</si>
  <si>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</si>
  <si>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</t>
  </si>
  <si>
    <t xml:space="preserve">Religious service attendance</t>
  </si>
  <si>
    <t xml:space="preserve">More than once a week</t>
  </si>
  <si>
    <t xml:space="preserve">Once a week</t>
  </si>
  <si>
    <t xml:space="preserve">Once or twice a month</t>
  </si>
  <si>
    <t xml:space="preserve">A few times a year</t>
  </si>
  <si>
    <t xml:space="preserve">Seldom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</si>
  <si>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</si>
  <si>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</si>
  <si>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</si>
  <si>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</si>
  <si>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</si>
  <si>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</si>
  <si>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</si>
  <si>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</si>
  <si>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</si>
  <si>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</si>
  <si>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</si>
  <si>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</si>
  <si>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</si>
  <si>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</si>
  <si>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</si>
  <si>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</si>
  <si>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</si>
  <si>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</si>
  <si>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</si>
  <si>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</si>
  <si>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</si>
  <si>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</si>
  <si>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</si>
  <si>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REG.   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</si>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</sst>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DEE7E5"/>
      </patternFill>
    </fill>
    <fill>
      <patternFill patternType="solid">
        <fgColor rgb="FFDEE7E5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67" zoomScaleNormal="67" zoomScalePageLayoutView="100" workbookViewId="0">
      <pane xSplit="0" ySplit="1" topLeftCell="A570" activePane="bottomLeft" state="frozen"/>
      <selection pane="topLeft" activeCell="A1" activeCellId="0" sqref="A1"/>
      <selection pane="bottomLeft" activeCell="F102" activeCellId="0" sqref="F102"/>
    </sheetView>
  </sheetViews>
  <sheetFormatPr defaultColWidth="10.2890625" defaultRowHeight="15" zeroHeight="false" outlineLevelRow="0" outlineLevelCol="0"/>
  <cols>
    <col collapsed="false" customWidth="true" hidden="false" outlineLevel="0" max="4" min="1" style="1" width="20.71"/>
    <col collapsed="false" customWidth="true" hidden="false" outlineLevel="0" max="6" min="5" style="1" width="56.52"/>
    <col collapsed="false" customWidth="true" hidden="false" outlineLevel="0" max="8" min="7" style="1" width="20.71"/>
    <col collapsed="false" customWidth="true" hidden="false" outlineLevel="0" max="9" min="9" style="1" width="60.71"/>
    <col collapsed="false" customWidth="true" hidden="false" outlineLevel="0" max="10" min="10" style="1" width="19.71"/>
    <col collapsed="false" customWidth="true" hidden="false" outlineLevel="0" max="11" min="11" style="1" width="117.71"/>
  </cols>
  <sheetData>
    <row r="1" s="4" customFormat="tru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3" t="s">
        <v>1</v>
      </c>
      <c r="I1" s="3"/>
      <c r="J1" s="3"/>
      <c r="K1" s="3"/>
    </row>
    <row r="2" s="4" customFormat="true" ht="15" hidden="false" customHeight="false" outlineLevel="0" collapsed="false">
      <c r="A2" s="2"/>
      <c r="B2" s="2"/>
      <c r="C2" s="2"/>
      <c r="D2" s="2"/>
      <c r="E2" s="2"/>
      <c r="F2" s="2"/>
      <c r="G2" s="2"/>
      <c r="H2" s="3"/>
      <c r="I2" s="3"/>
      <c r="J2" s="3"/>
      <c r="K2" s="3"/>
    </row>
    <row r="3" s="4" customFormat="true" ht="1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 t="s">
        <v>9</v>
      </c>
      <c r="I3" s="5" t="s">
        <v>10</v>
      </c>
      <c r="J3" s="3" t="s">
        <v>11</v>
      </c>
      <c r="K3" s="3" t="s">
        <v>12</v>
      </c>
    </row>
    <row r="4" customFormat="false" ht="15" hidden="false" customHeight="true" outlineLevel="0" collapsed="false">
      <c r="A4" s="1" t="s">
        <v>13</v>
      </c>
      <c r="B4" s="1" t="s">
        <v>14</v>
      </c>
      <c r="C4" s="1" t="str">
        <f aca="false">IF(D4="PRE","N/A",
IF(D4="SUP","N/A",
IF(D4="Single-choice",H4,
IF(D4="Single-choice w/ correct",H4,
IF(D4="Series", LEFT(H4,FIND("_",H4)-1) &amp; "_" &amp; MID(H4,FIND("_",H4,FIND("_",H4)+1)+1,999)
)))))</f>
        <v>N/A</v>
      </c>
      <c r="D4" s="6" t="s">
        <v>15</v>
      </c>
      <c r="E4" s="7" t="str">
        <f aca="false">IF(D4="PRE","N/A", 
IF(D4="SUP",I4, 
IF(D4="Single-choice",I4, 
IF(D4="Single-choice w/ correct",I4, 
IF(D4="Series", LEFT(I4, FIND("    ",I4)
))))))</f>
        <v>N/A</v>
      </c>
      <c r="F4" s="8" t="str">
        <f aca="false">IF(D4="PRE",I4,
IF(D4="SUP",I4,
IF(D4="Single-choice","N/A",
IF(D4="Single-choice w/ correct","N/A",
IF(D4="Series", RIGHT(I4, LEN(I4) - FIND("    ",I4)-3
))))))</f>
        <v>Unique ID</v>
      </c>
      <c r="G4" s="6" t="s">
        <v>16</v>
      </c>
      <c r="H4" s="6" t="s">
        <v>17</v>
      </c>
      <c r="I4" s="9" t="s">
        <v>18</v>
      </c>
      <c r="J4" s="6" t="s">
        <v>19</v>
      </c>
      <c r="K4" s="6" t="s">
        <v>20</v>
      </c>
    </row>
    <row r="5" customFormat="false" ht="15" hidden="false" customHeight="false" outlineLevel="0" collapsed="false">
      <c r="A5" s="1" t="s">
        <v>13</v>
      </c>
      <c r="B5" s="1" t="s">
        <v>14</v>
      </c>
      <c r="C5" s="1" t="str">
        <f aca="false">IF(D5="PRE","N/A",
IF(D5="SUP","N/A",
IF(D5="Single-choice",H5,
IF(D5="Single-choice w/ correct",H5,
IF(D5="Series", LEFT(H5,FIND("_",H5)-1) &amp; "_" &amp; MID(H5,FIND("_",H5,FIND("_",H5)+1)+1,999)
)))))</f>
        <v>N/A</v>
      </c>
      <c r="D5" s="6" t="s">
        <v>15</v>
      </c>
      <c r="E5" s="7" t="str">
        <f aca="false">IF(D5="PRE","N/A", 
IF(D5="SUP",I5, 
IF(D5="Single-choice",I5, 
IF(D5="Single-choice w/ correct",I5, 
IF(D5="Series", LEFT(I5, FIND("    ",I5)
))))))</f>
        <v>N/A</v>
      </c>
      <c r="F5" s="8" t="str">
        <f aca="false">IF(D5="PRE",I5,
IF(D5="SUP",I5,
IF(D5="Single-choice","N/A",
IF(D5="Single-choice w/ correct","N/A",
IF(D5="Series", RIGHT(I5, LEN(I5) - FIND("    ",I5)-3
))))))</f>
        <v>Unique ID</v>
      </c>
      <c r="G5" s="6" t="s">
        <v>16</v>
      </c>
      <c r="H5" s="10" t="s">
        <v>17</v>
      </c>
      <c r="I5" s="9" t="s">
        <v>18</v>
      </c>
      <c r="J5" s="10" t="s">
        <v>21</v>
      </c>
      <c r="K5" s="10" t="s">
        <v>22</v>
      </c>
    </row>
    <row r="6" customFormat="false" ht="15" hidden="false" customHeight="true" outlineLevel="0" collapsed="false">
      <c r="A6" s="1" t="s">
        <v>13</v>
      </c>
      <c r="B6" s="1" t="s">
        <v>14</v>
      </c>
      <c r="C6" s="1" t="str">
        <f aca="false">IF(D6="PRE","N/A",
IF(D6="SUP","N/A",
IF(D6="Single-choice",H6,
IF(D6="Single-choice w/ correct",H6,
IF(D6="Series", LEFT(H6,FIND("_",H6)-1) &amp; "_" &amp; MID(H6,FIND("_",H6,FIND("_",H6)+1)+1,999)
)))))</f>
        <v>N/A</v>
      </c>
      <c r="D6" s="6" t="s">
        <v>15</v>
      </c>
      <c r="E6" s="7" t="str">
        <f aca="false">IF(D6="PRE","N/A", 
IF(D6="SUP",I6, 
IF(D6="Single-choice",I6, 
IF(D6="Single-choice w/ correct",I6, 
IF(D6="Series", LEFT(I6, FIND("    ",I6)
))))))</f>
        <v>N/A</v>
      </c>
      <c r="F6" s="8" t="str">
        <f aca="false">IF(D6="PRE",I6,
IF(D6="SUP",I6,
IF(D6="Single-choice","N/A",
IF(D6="Single-choice w/ correct","N/A",
IF(D6="Series", RIGHT(I6, LEN(I6) - FIND("    ",I6)-3
))))))</f>
        <v>Wave 127 weight</v>
      </c>
      <c r="G6" s="6" t="s">
        <v>16</v>
      </c>
      <c r="H6" s="6" t="s">
        <v>23</v>
      </c>
      <c r="I6" s="9" t="s">
        <v>24</v>
      </c>
      <c r="J6" s="6" t="s">
        <v>25</v>
      </c>
      <c r="K6" s="6" t="s">
        <v>20</v>
      </c>
    </row>
    <row r="7" customFormat="false" ht="15" hidden="false" customHeight="true" outlineLevel="0" collapsed="false">
      <c r="A7" s="1" t="s">
        <v>13</v>
      </c>
      <c r="B7" s="1" t="s">
        <v>14</v>
      </c>
      <c r="C7" s="1" t="str">
        <f aca="false">IF(D7="PRE","N/A",
IF(D7="SUP","N/A",
IF(D7="Single-choice",H7,
IF(D7="Single-choice w/ correct",H7,
IF(D7="Series", LEFT(H7,FIND("_",H7)-1) &amp; "_" &amp; MID(H7,FIND("_",H7,FIND("_",H7)+1)+1,999)
)))))</f>
        <v>N/A</v>
      </c>
      <c r="D7" s="6" t="s">
        <v>15</v>
      </c>
      <c r="E7" s="7" t="str">
        <f aca="false">IF(D7="PRE","N/A", 
IF(D7="SUP",I7, 
IF(D7="Single-choice",I7, 
IF(D7="Single-choice w/ correct",I7, 
IF(D7="Series", LEFT(I7, FIND("    ",I7)
))))))</f>
        <v>N/A</v>
      </c>
      <c r="F7" s="8" t="str">
        <f aca="false">IF(D7="PRE",I7,
IF(D7="SUP",I7,
IF(D7="Single-choice","N/A",
IF(D7="Single-choice w/ correct","N/A",
IF(D7="Series", RIGHT(I7, LEN(I7) - FIND("    ",I7)-3
))))))</f>
        <v>Wave 127 weight</v>
      </c>
      <c r="G7" s="6" t="s">
        <v>16</v>
      </c>
      <c r="H7" s="10" t="s">
        <v>23</v>
      </c>
      <c r="I7" s="9" t="s">
        <v>24</v>
      </c>
      <c r="J7" s="10" t="s">
        <v>26</v>
      </c>
      <c r="K7" s="10" t="s">
        <v>22</v>
      </c>
    </row>
    <row r="8" customFormat="false" ht="15" hidden="false" customHeight="true" outlineLevel="0" collapsed="false">
      <c r="A8" s="1" t="s">
        <v>13</v>
      </c>
      <c r="B8" s="1" t="s">
        <v>14</v>
      </c>
      <c r="C8" s="1" t="str">
        <f aca="false">IF(D8="PRE","N/A",
IF(D8="SUP","N/A",
IF(D8="Single-choice",H8,
IF(D8="Single-choice w/ correct",H8,
IF(D8="Series", LEFT(H8,FIND("_",H8)-1) &amp; "_" &amp; MID(H8,FIND("_",H8,FIND("_",H8)+1)+1,999)
)))))</f>
        <v>N/A</v>
      </c>
      <c r="D8" s="6" t="s">
        <v>15</v>
      </c>
      <c r="E8" s="7" t="str">
        <f aca="false">IF(D8="PRE","N/A", 
IF(D8="SUP",I8, 
IF(D8="Single-choice",I8, 
IF(D8="Single-choice w/ correct",I8, 
IF(D8="Series", LEFT(I8, FIND("    ",I8)
))))))</f>
        <v>N/A</v>
      </c>
      <c r="F8" s="8" t="str">
        <f aca="false">IF(D8="PRE",I8,
IF(D8="SUP",I8,
IF(D8="Single-choice","N/A",
IF(D8="Single-choice w/ correct","N/A",
IF(D8="Series", RIGHT(I8, LEN(I8) - FIND("    ",I8)-3
))))))</f>
        <v>Interview start time</v>
      </c>
      <c r="G8" s="6" t="s">
        <v>16</v>
      </c>
      <c r="H8" s="6" t="s">
        <v>27</v>
      </c>
      <c r="I8" s="9" t="s">
        <v>28</v>
      </c>
      <c r="J8" s="6" t="s">
        <v>29</v>
      </c>
      <c r="K8" s="6" t="s">
        <v>20</v>
      </c>
    </row>
    <row r="9" customFormat="false" ht="15" hidden="false" customHeight="false" outlineLevel="0" collapsed="false">
      <c r="A9" s="1" t="s">
        <v>13</v>
      </c>
      <c r="B9" s="1" t="s">
        <v>14</v>
      </c>
      <c r="C9" s="1" t="str">
        <f aca="false">IF(D9="PRE","N/A",
IF(D9="SUP","N/A",
IF(D9="Single-choice",H9,
IF(D9="Single-choice w/ correct",H9,
IF(D9="Series", LEFT(H9,FIND("_",H9)-1) &amp; "_" &amp; MID(H9,FIND("_",H9,FIND("_",H9)+1)+1,999)
)))))</f>
        <v>N/A</v>
      </c>
      <c r="D9" s="6" t="s">
        <v>15</v>
      </c>
      <c r="E9" s="7" t="str">
        <f aca="false">IF(D9="PRE","N/A", 
IF(D9="SUP",I9, 
IF(D9="Single-choice",I9, 
IF(D9="Single-choice w/ correct",I9, 
IF(D9="Series", LEFT(I9, FIND("    ",I9)
))))))</f>
        <v>N/A</v>
      </c>
      <c r="F9" s="8" t="str">
        <f aca="false">IF(D9="PRE",I9,
IF(D9="SUP",I9,
IF(D9="Single-choice","N/A",
IF(D9="Single-choice w/ correct","N/A",
IF(D9="Series", RIGHT(I9, LEN(I9) - FIND("    ",I9)-3
))))))</f>
        <v>Interview start time</v>
      </c>
      <c r="G9" s="6" t="s">
        <v>16</v>
      </c>
      <c r="H9" s="10" t="s">
        <v>27</v>
      </c>
      <c r="I9" s="9" t="s">
        <v>28</v>
      </c>
      <c r="J9" s="10" t="s">
        <v>30</v>
      </c>
      <c r="K9" s="10" t="s">
        <v>22</v>
      </c>
    </row>
    <row r="10" customFormat="false" ht="15" hidden="false" customHeight="true" outlineLevel="0" collapsed="false">
      <c r="A10" s="1" t="s">
        <v>13</v>
      </c>
      <c r="B10" s="1" t="s">
        <v>14</v>
      </c>
      <c r="C10" s="1" t="str">
        <f aca="false">IF(D10="PRE","N/A",
IF(D10="SUP","N/A",
IF(D10="Single-choice",H10,
IF(D10="Single-choice w/ correct",H10,
IF(D10="Series", LEFT(H10,FIND("_",H10)-1) &amp; "_" &amp; MID(H10,FIND("_",H10,FIND("_",H10)+1)+1,999)
)))))</f>
        <v>N/A</v>
      </c>
      <c r="D10" s="6" t="s">
        <v>15</v>
      </c>
      <c r="E10" s="7" t="str">
        <f aca="false">IF(D10="PRE","N/A", 
IF(D10="SUP",I10, 
IF(D10="Single-choice",I10, 
IF(D10="Single-choice w/ correct",I10, 
IF(D10="Series", LEFT(I10, FIND("    ",I10)
))))))</f>
        <v>N/A</v>
      </c>
      <c r="F10" s="8" t="str">
        <f aca="false">IF(D10="PRE",I10,
IF(D10="SUP",I10,
IF(D10="Single-choice","N/A",
IF(D10="Single-choice w/ correct","N/A",
IF(D10="Series", RIGHT(I10, LEN(I10) - FIND("    ",I10)-3
))))))</f>
        <v>Interview end time</v>
      </c>
      <c r="G10" s="6" t="s">
        <v>16</v>
      </c>
      <c r="H10" s="6" t="s">
        <v>31</v>
      </c>
      <c r="I10" s="9" t="s">
        <v>32</v>
      </c>
      <c r="J10" s="6" t="s">
        <v>33</v>
      </c>
      <c r="K10" s="6" t="s">
        <v>20</v>
      </c>
    </row>
    <row r="11" customFormat="false" ht="15" hidden="false" customHeight="false" outlineLevel="0" collapsed="false">
      <c r="A11" s="1" t="s">
        <v>13</v>
      </c>
      <c r="B11" s="1" t="s">
        <v>14</v>
      </c>
      <c r="C11" s="1" t="str">
        <f aca="false">IF(D11="PRE","N/A",
IF(D11="SUP","N/A",
IF(D11="Single-choice",H11,
IF(D11="Single-choice w/ correct",H11,
IF(D11="Series", LEFT(H11,FIND("_",H11)-1) &amp; "_" &amp; MID(H11,FIND("_",H11,FIND("_",H11)+1)+1,999)
)))))</f>
        <v>N/A</v>
      </c>
      <c r="D11" s="6" t="s">
        <v>15</v>
      </c>
      <c r="E11" s="7" t="str">
        <f aca="false">IF(D11="PRE","N/A", 
IF(D11="SUP",I11, 
IF(D11="Single-choice",I11, 
IF(D11="Single-choice w/ correct",I11, 
IF(D11="Series", LEFT(I11, FIND("    ",I11)
))))))</f>
        <v>N/A</v>
      </c>
      <c r="F11" s="8" t="str">
        <f aca="false">IF(D11="PRE",I11,
IF(D11="SUP",I11,
IF(D11="Single-choice","N/A",
IF(D11="Single-choice w/ correct","N/A",
IF(D11="Series", RIGHT(I11, LEN(I11) - FIND("    ",I11)-3
))))))</f>
        <v>Interview end time</v>
      </c>
      <c r="G11" s="6" t="s">
        <v>16</v>
      </c>
      <c r="H11" s="10" t="s">
        <v>31</v>
      </c>
      <c r="I11" s="9" t="s">
        <v>32</v>
      </c>
      <c r="J11" s="10" t="s">
        <v>34</v>
      </c>
      <c r="K11" s="10" t="s">
        <v>22</v>
      </c>
    </row>
    <row r="12" customFormat="false" ht="15" hidden="false" customHeight="true" outlineLevel="0" collapsed="false">
      <c r="A12" s="1" t="s">
        <v>13</v>
      </c>
      <c r="B12" s="1" t="s">
        <v>14</v>
      </c>
      <c r="C12" s="1" t="str">
        <f aca="false">IF(D12="PRE","N/A",
IF(D12="SUP","N/A",
IF(D12="Single-choice",H12,
IF(D12="Single-choice w/ correct",H12,
IF(D12="Series", LEFT(H12,FIND("_",H12)-1) &amp; "_" &amp; MID(H12,FIND("_",H12,FIND("_",H12)+1)+1,999)
)))))</f>
        <v>N/A</v>
      </c>
      <c r="D12" s="6" t="s">
        <v>15</v>
      </c>
      <c r="E12" s="7" t="str">
        <f aca="false">IF(D12="PRE","N/A", 
IF(D12="SUP",I12, 
IF(D12="Single-choice",I12, 
IF(D12="Single-choice w/ correct",I12, 
IF(D12="Series", LEFT(I12, FIND("    ",I12)
))))))</f>
        <v>N/A</v>
      </c>
      <c r="F12" s="8" t="str">
        <f aca="false">IF(D12="PRE",I12,
IF(D12="SUP",I12,
IF(D12="Single-choice","N/A",
IF(D12="Single-choice w/ correct","N/A",
IF(D12="Series", RIGHT(I12, LEN(I12) - FIND("    ",I12)-3
))))))</f>
        <v>The device used in the latest access of the survey link</v>
      </c>
      <c r="G12" s="6" t="s">
        <v>16</v>
      </c>
      <c r="H12" s="6" t="s">
        <v>35</v>
      </c>
      <c r="I12" s="9" t="s">
        <v>36</v>
      </c>
      <c r="J12" s="6" t="n">
        <v>1</v>
      </c>
      <c r="K12" s="6" t="s">
        <v>37</v>
      </c>
    </row>
    <row r="13" customFormat="false" ht="15" hidden="false" customHeight="false" outlineLevel="0" collapsed="false">
      <c r="A13" s="1" t="s">
        <v>13</v>
      </c>
      <c r="B13" s="1" t="s">
        <v>14</v>
      </c>
      <c r="C13" s="1" t="str">
        <f aca="false">IF(D13="PRE","N/A",
IF(D13="SUP","N/A",
IF(D13="Single-choice",H13,
IF(D13="Single-choice w/ correct",H13,
IF(D13="Series", LEFT(H13,FIND("_",H13)-1) &amp; "_" &amp; MID(H13,FIND("_",H13,FIND("_",H13)+1)+1,999)
)))))</f>
        <v>N/A</v>
      </c>
      <c r="D13" s="6" t="s">
        <v>15</v>
      </c>
      <c r="E13" s="7" t="str">
        <f aca="false">IF(D13="PRE","N/A", 
IF(D13="SUP",I13, 
IF(D13="Single-choice",I13, 
IF(D13="Single-choice w/ correct",I13, 
IF(D13="Series", LEFT(I13, FIND("    ",I13)
))))))</f>
        <v>N/A</v>
      </c>
      <c r="F13" s="8" t="str">
        <f aca="false">IF(D13="PRE",I13,
IF(D13="SUP",I13,
IF(D13="Single-choice","N/A",
IF(D13="Single-choice w/ correct","N/A",
IF(D13="Series", RIGHT(I13, LEN(I13) - FIND("    ",I13)-3
))))))</f>
        <v>The device used in the latest access of the survey link</v>
      </c>
      <c r="G13" s="6" t="s">
        <v>16</v>
      </c>
      <c r="H13" s="10" t="s">
        <v>35</v>
      </c>
      <c r="I13" s="9" t="s">
        <v>36</v>
      </c>
      <c r="J13" s="10" t="n">
        <v>2</v>
      </c>
      <c r="K13" s="10" t="s">
        <v>38</v>
      </c>
    </row>
    <row r="14" customFormat="false" ht="15" hidden="false" customHeight="false" outlineLevel="0" collapsed="false">
      <c r="A14" s="1" t="s">
        <v>13</v>
      </c>
      <c r="B14" s="1" t="s">
        <v>14</v>
      </c>
      <c r="C14" s="1" t="str">
        <f aca="false">IF(D14="PRE","N/A",
IF(D14="SUP","N/A",
IF(D14="Single-choice",H14,
IF(D14="Single-choice w/ correct",H14,
IF(D14="Series", LEFT(H14,FIND("_",H14)-1) &amp; "_" &amp; MID(H14,FIND("_",H14,FIND("_",H14)+1)+1,999)
)))))</f>
        <v>N/A</v>
      </c>
      <c r="D14" s="6" t="s">
        <v>15</v>
      </c>
      <c r="E14" s="7" t="str">
        <f aca="false">IF(D14="PRE","N/A", 
IF(D14="SUP",I14, 
IF(D14="Single-choice",I14, 
IF(D14="Single-choice w/ correct",I14, 
IF(D14="Series", LEFT(I14, FIND("    ",I14)
))))))</f>
        <v>N/A</v>
      </c>
      <c r="F14" s="8" t="str">
        <f aca="false">IF(D14="PRE",I14,
IF(D14="SUP",I14,
IF(D14="Single-choice","N/A",
IF(D14="Single-choice w/ correct","N/A",
IF(D14="Series", RIGHT(I14, LEN(I14) - FIND("    ",I14)-3
))))))</f>
        <v>The device used in the latest access of the survey link</v>
      </c>
      <c r="G14" s="6" t="s">
        <v>16</v>
      </c>
      <c r="H14" s="10" t="s">
        <v>35</v>
      </c>
      <c r="I14" s="9" t="s">
        <v>36</v>
      </c>
      <c r="J14" s="10" t="n">
        <v>3</v>
      </c>
      <c r="K14" s="10" t="s">
        <v>39</v>
      </c>
    </row>
    <row r="15" customFormat="false" ht="15" hidden="false" customHeight="false" outlineLevel="0" collapsed="false">
      <c r="A15" s="1" t="s">
        <v>13</v>
      </c>
      <c r="B15" s="1" t="s">
        <v>14</v>
      </c>
      <c r="C15" s="1" t="str">
        <f aca="false">IF(D15="PRE","N/A",
IF(D15="SUP","N/A",
IF(D15="Single-choice",H15,
IF(D15="Single-choice w/ correct",H15,
IF(D15="Series", LEFT(H15,FIND("_",H15)-1) &amp; "_" &amp; MID(H15,FIND("_",H15,FIND("_",H15)+1)+1,999)
)))))</f>
        <v>N/A</v>
      </c>
      <c r="D15" s="6" t="s">
        <v>15</v>
      </c>
      <c r="E15" s="7" t="str">
        <f aca="false">IF(D15="PRE","N/A", 
IF(D15="SUP",I15, 
IF(D15="Single-choice",I15, 
IF(D15="Single-choice w/ correct",I15, 
IF(D15="Series", LEFT(I15, FIND("    ",I15)
))))))</f>
        <v>N/A</v>
      </c>
      <c r="F15" s="8" t="str">
        <f aca="false">IF(D15="PRE",I15,
IF(D15="SUP",I15,
IF(D15="Single-choice","N/A",
IF(D15="Single-choice w/ correct","N/A",
IF(D15="Series", RIGHT(I15, LEN(I15) - FIND("    ",I15)-3
))))))</f>
        <v>The device used in the latest access of the survey link</v>
      </c>
      <c r="G15" s="6" t="s">
        <v>16</v>
      </c>
      <c r="H15" s="10" t="s">
        <v>35</v>
      </c>
      <c r="I15" s="9" t="s">
        <v>36</v>
      </c>
      <c r="J15" s="10" t="n">
        <v>4</v>
      </c>
      <c r="K15" s="10" t="s">
        <v>40</v>
      </c>
    </row>
    <row r="16" customFormat="false" ht="15" hidden="false" customHeight="false" outlineLevel="0" collapsed="false">
      <c r="A16" s="1" t="s">
        <v>13</v>
      </c>
      <c r="B16" s="1" t="s">
        <v>14</v>
      </c>
      <c r="C16" s="1" t="str">
        <f aca="false">IF(D16="PRE","N/A",
IF(D16="SUP","N/A",
IF(D16="Single-choice",H16,
IF(D16="Single-choice w/ correct",H16,
IF(D16="Series", LEFT(H16,FIND("_",H16)-1) &amp; "_" &amp; MID(H16,FIND("_",H16,FIND("_",H16)+1)+1,999)
)))))</f>
        <v>N/A</v>
      </c>
      <c r="D16" s="6" t="s">
        <v>15</v>
      </c>
      <c r="E16" s="7" t="str">
        <f aca="false">IF(D16="PRE","N/A", 
IF(D16="SUP",I16, 
IF(D16="Single-choice",I16, 
IF(D16="Single-choice w/ correct",I16, 
IF(D16="Series", LEFT(I16, FIND("    ",I16)
))))))</f>
        <v>N/A</v>
      </c>
      <c r="F16" s="8" t="str">
        <f aca="false">IF(D16="PRE",I16,
IF(D16="SUP",I16,
IF(D16="Single-choice","N/A",
IF(D16="Single-choice w/ correct","N/A",
IF(D16="Series", RIGHT(I16, LEN(I16) - FIND("    ",I16)-3
))))))</f>
        <v>The device used in the latest access of the survey link</v>
      </c>
      <c r="G16" s="6" t="s">
        <v>16</v>
      </c>
      <c r="H16" s="10" t="s">
        <v>35</v>
      </c>
      <c r="I16" s="9" t="s">
        <v>36</v>
      </c>
      <c r="J16" s="10" t="n">
        <v>5</v>
      </c>
      <c r="K16" s="10" t="s">
        <v>41</v>
      </c>
    </row>
    <row r="17" customFormat="false" ht="15" hidden="false" customHeight="true" outlineLevel="0" collapsed="false">
      <c r="A17" s="1" t="s">
        <v>13</v>
      </c>
      <c r="B17" s="1" t="s">
        <v>14</v>
      </c>
      <c r="C17" s="1" t="str">
        <f aca="false">IF(D17="PRE","N/A",
IF(D17="SUP","N/A",
IF(D17="Single-choice",H17,
IF(D17="Single-choice w/ correct",H17,
IF(D17="Series", LEFT(H17,FIND("_",H17)-1) &amp; "_" &amp; MID(H17,FIND("_",H17,FIND("_",H17)+1)+1,999)
)))))</f>
        <v>N/A</v>
      </c>
      <c r="D17" s="6" t="s">
        <v>15</v>
      </c>
      <c r="E17" s="7" t="str">
        <f aca="false">IF(D17="PRE","N/A", 
IF(D17="SUP",I17, 
IF(D17="Single-choice",I17, 
IF(D17="Single-choice w/ correct",I17, 
IF(D17="Series", LEFT(I17, FIND("    ",I17)
))))))</f>
        <v>N/A</v>
      </c>
      <c r="F17" s="8" t="str">
        <f aca="false">IF(D17="PRE",I17,
IF(D17="SUP",I17,
IF(D17="Single-choice","N/A",
IF(D17="Single-choice w/ correct","N/A",
IF(D17="Series", RIGHT(I17, LEN(I17) - FIND("    ",I17)-3
))))))</f>
        <v> Language of interview</v>
      </c>
      <c r="G17" s="6" t="s">
        <v>16</v>
      </c>
      <c r="H17" s="6" t="s">
        <v>42</v>
      </c>
      <c r="I17" s="9" t="s">
        <v>43</v>
      </c>
      <c r="J17" s="6" t="n">
        <v>1</v>
      </c>
      <c r="K17" s="6" t="s">
        <v>44</v>
      </c>
    </row>
    <row r="18" customFormat="false" ht="15" hidden="false" customHeight="false" outlineLevel="0" collapsed="false">
      <c r="A18" s="1" t="s">
        <v>13</v>
      </c>
      <c r="B18" s="1" t="s">
        <v>14</v>
      </c>
      <c r="C18" s="1" t="str">
        <f aca="false">IF(D18="PRE","N/A",
IF(D18="SUP","N/A",
IF(D18="Single-choice",H18,
IF(D18="Single-choice w/ correct",H18,
IF(D18="Series", LEFT(H18,FIND("_",H18)-1) &amp; "_" &amp; MID(H18,FIND("_",H18,FIND("_",H18)+1)+1,999)
)))))</f>
        <v>N/A</v>
      </c>
      <c r="D18" s="6" t="s">
        <v>15</v>
      </c>
      <c r="E18" s="7" t="str">
        <f aca="false">IF(D18="PRE","N/A", 
IF(D18="SUP",I18, 
IF(D18="Single-choice",I18, 
IF(D18="Single-choice w/ correct",I18, 
IF(D18="Series", LEFT(I18, FIND("    ",I18)
))))))</f>
        <v>N/A</v>
      </c>
      <c r="F18" s="8" t="str">
        <f aca="false">IF(D18="PRE",I18,
IF(D18="SUP",I18,
IF(D18="Single-choice","N/A",
IF(D18="Single-choice w/ correct","N/A",
IF(D18="Series", RIGHT(I18, LEN(I18) - FIND("    ",I18)-3
))))))</f>
        <v> Language of interview</v>
      </c>
      <c r="G18" s="6" t="s">
        <v>16</v>
      </c>
      <c r="H18" s="10" t="s">
        <v>42</v>
      </c>
      <c r="I18" s="9" t="s">
        <v>43</v>
      </c>
      <c r="J18" s="10" t="n">
        <v>2</v>
      </c>
      <c r="K18" s="10" t="s">
        <v>45</v>
      </c>
    </row>
    <row r="19" customFormat="false" ht="15" hidden="false" customHeight="true" outlineLevel="0" collapsed="false">
      <c r="A19" s="1" t="s">
        <v>13</v>
      </c>
      <c r="B19" s="1" t="s">
        <v>14</v>
      </c>
      <c r="C19" s="1" t="str">
        <f aca="false">IF(D19="PRE","N/A",
IF(D19="SUP","N/A",
IF(D19="Single-choice",H19,
IF(D19="Single-choice w/ correct",H19,
IF(D19="Series", LEFT(H19,FIND("_",H19)-1) &amp; "_" &amp; MID(H19,FIND("_",H19,FIND("_",H19)+1)+1,999)
)))))</f>
        <v>N/A</v>
      </c>
      <c r="D19" s="6" t="s">
        <v>15</v>
      </c>
      <c r="E19" s="7" t="str">
        <f aca="false">IF(D19="PRE","N/A", 
IF(D19="SUP",I19, 
IF(D19="Single-choice",I19, 
IF(D19="Single-choice w/ correct",I19, 
IF(D19="Series", LEFT(I19, FIND("    ",I19)
))))))</f>
        <v>N/A</v>
      </c>
      <c r="F19" s="8" t="str">
        <f aca="false">IF(D19="PRE",I19,
IF(D19="SUP",I19,
IF(D19="Single-choice","N/A",
IF(D19="Single-choice w/ correct","N/A",
IF(D19="Series", RIGHT(I19, LEN(I19) - FIND("    ",I19)-3
))))))</f>
        <v>Wave 127 form assignment</v>
      </c>
      <c r="G19" s="6" t="s">
        <v>16</v>
      </c>
      <c r="H19" s="6" t="s">
        <v>46</v>
      </c>
      <c r="I19" s="9" t="s">
        <v>47</v>
      </c>
      <c r="J19" s="6" t="n">
        <v>1</v>
      </c>
      <c r="K19" s="6" t="s">
        <v>48</v>
      </c>
    </row>
    <row r="20" customFormat="false" ht="15" hidden="false" customHeight="false" outlineLevel="0" collapsed="false">
      <c r="A20" s="1" t="s">
        <v>13</v>
      </c>
      <c r="B20" s="1" t="s">
        <v>14</v>
      </c>
      <c r="C20" s="1" t="str">
        <f aca="false">IF(D20="PRE","N/A",
IF(D20="SUP","N/A",
IF(D20="Single-choice",H20,
IF(D20="Single-choice w/ correct",H20,
IF(D20="Series", LEFT(H20,FIND("_",H20)-1) &amp; "_" &amp; MID(H20,FIND("_",H20,FIND("_",H20)+1)+1,999)
)))))</f>
        <v>N/A</v>
      </c>
      <c r="D20" s="6" t="s">
        <v>15</v>
      </c>
      <c r="E20" s="7" t="str">
        <f aca="false">IF(D20="PRE","N/A", 
IF(D20="SUP",I20, 
IF(D20="Single-choice",I20, 
IF(D20="Single-choice w/ correct",I20, 
IF(D20="Series", LEFT(I20, FIND("    ",I20)
))))))</f>
        <v>N/A</v>
      </c>
      <c r="F20" s="8" t="str">
        <f aca="false">IF(D20="PRE",I20,
IF(D20="SUP",I20,
IF(D20="Single-choice","N/A",
IF(D20="Single-choice w/ correct","N/A",
IF(D20="Series", RIGHT(I20, LEN(I20) - FIND("    ",I20)-3
))))))</f>
        <v>Wave 127 form assignment</v>
      </c>
      <c r="G20" s="6" t="s">
        <v>16</v>
      </c>
      <c r="H20" s="10" t="s">
        <v>46</v>
      </c>
      <c r="I20" s="9" t="s">
        <v>47</v>
      </c>
      <c r="J20" s="10" t="n">
        <v>2</v>
      </c>
      <c r="K20" s="10" t="s">
        <v>49</v>
      </c>
    </row>
    <row r="21" customFormat="false" ht="15" hidden="false" customHeight="true" outlineLevel="0" collapsed="false">
      <c r="A21" s="1" t="s">
        <v>13</v>
      </c>
      <c r="B21" s="1" t="s">
        <v>14</v>
      </c>
      <c r="C21" s="1" t="str">
        <f aca="false">IF(D21="PRE","N/A",
IF(D21="SUP","N/A",
IF(D21="Single-choice",H21,
IF(D21="Single-choice w/ correct",H21,
IF(D21="Series", LEFT(H21,FIND("_",H21)-1) &amp; "_" &amp; MID(H21,FIND("_",H21,FIND("_",H21)+1)+1,999)
)))))</f>
        <v>N/A</v>
      </c>
      <c r="D21" s="6" t="s">
        <v>15</v>
      </c>
      <c r="E21" s="7" t="str">
        <f aca="false">IF(D21="PRE","N/A", 
IF(D21="SUP",I21, 
IF(D21="Single-choice",I21, 
IF(D21="Single-choice w/ correct",I21, 
IF(D21="Series", LEFT(I21, FIND("    ",I21)
))))))</f>
        <v>N/A</v>
      </c>
      <c r="F21" s="8" t="str">
        <f aca="false">IF(D21="PRE",I21,
IF(D21="SUP",I21,
IF(D21="Single-choice","N/A",
IF(D21="Single-choice w/ correct","N/A",
IF(D21="Series", RIGHT(I21, LEN(I21) - FIND("    ",I21)-3
))))))</f>
        <v>Flag to identify non-internet households that were provided a tablet</v>
      </c>
      <c r="G21" s="6" t="s">
        <v>16</v>
      </c>
      <c r="H21" s="6" t="s">
        <v>50</v>
      </c>
      <c r="I21" s="9" t="s">
        <v>51</v>
      </c>
      <c r="J21" s="6" t="n">
        <v>1</v>
      </c>
      <c r="K21" s="6" t="s">
        <v>52</v>
      </c>
    </row>
    <row r="22" customFormat="false" ht="15" hidden="false" customHeight="false" outlineLevel="0" collapsed="false">
      <c r="A22" s="1" t="s">
        <v>13</v>
      </c>
      <c r="B22" s="1" t="s">
        <v>14</v>
      </c>
      <c r="C22" s="1" t="str">
        <f aca="false">IF(D22="PRE","N/A",
IF(D22="SUP","N/A",
IF(D22="Single-choice",H22,
IF(D22="Single-choice w/ correct",H22,
IF(D22="Series", LEFT(H22,FIND("_",H22)-1) &amp; "_" &amp; MID(H22,FIND("_",H22,FIND("_",H22)+1)+1,999)
)))))</f>
        <v>N/A</v>
      </c>
      <c r="D22" s="6" t="s">
        <v>15</v>
      </c>
      <c r="E22" s="7" t="str">
        <f aca="false">IF(D22="PRE","N/A", 
IF(D22="SUP",I22, 
IF(D22="Single-choice",I22, 
IF(D22="Single-choice w/ correct",I22, 
IF(D22="Series", LEFT(I22, FIND("    ",I22)
))))))</f>
        <v>N/A</v>
      </c>
      <c r="F22" s="8" t="str">
        <f aca="false">IF(D22="PRE",I22,
IF(D22="SUP",I22,
IF(D22="Single-choice","N/A",
IF(D22="Single-choice w/ correct","N/A",
IF(D22="Series", RIGHT(I22, LEN(I22) - FIND("    ",I22)-3
))))))</f>
        <v>Flag to identify non-internet households that were provided a tablet</v>
      </c>
      <c r="G22" s="6" t="s">
        <v>16</v>
      </c>
      <c r="H22" s="10" t="s">
        <v>50</v>
      </c>
      <c r="I22" s="9" t="s">
        <v>51</v>
      </c>
      <c r="J22" s="10" t="n">
        <v>2</v>
      </c>
      <c r="K22" s="10" t="s">
        <v>53</v>
      </c>
    </row>
    <row r="23" customFormat="false" ht="15" hidden="false" customHeight="true" outlineLevel="0" collapsed="false">
      <c r="A23" s="1" t="s">
        <v>13</v>
      </c>
      <c r="B23" s="1" t="s">
        <v>54</v>
      </c>
      <c r="C23" s="1" t="str">
        <f aca="false">IF(D23="PRE","N/A",
IF(D23="SUP","N/A",
IF(D23="Single-choice",H23,
IF(D23="Single-choice w/ correct",H23,
IF(D23="Series", LEFT(H23,FIND("_",H23)-1) &amp; "_" &amp; MID(H23,FIND("_",H23,FIND("_",H23)+1)+1,999)
)))))</f>
        <v>DIGCONF_W127</v>
      </c>
      <c r="D23" s="6" t="s">
        <v>55</v>
      </c>
      <c r="E23" s="7" t="str">
        <f aca="false">IF(D23="PRE","N/A", 
IF(D23="SUP",I23, 
IF(D23="Single-choice",I23, 
IF(D23="Single-choice w/ correct",I23, 
IF(D23="Series", LEFT(I23, FIND("    ",I23)
))))))</f>
        <v>Overall, how confident do you feel using computers, smartphones, or other electronic devices to do the things you need to do online?</v>
      </c>
      <c r="F23" s="8" t="str">
        <f aca="false">IF(D23="PRE",I23,
IF(D23="SUP",I23,
IF(D23="Single-choice","N/A",
IF(D23="Single-choice w/ correct","N/A",
IF(D23="Series", RIGHT(I23, LEN(I23) - FIND("    ",I23)-3
))))))</f>
        <v>N/A</v>
      </c>
      <c r="G23" s="6" t="s">
        <v>56</v>
      </c>
      <c r="H23" s="6" t="s">
        <v>57</v>
      </c>
      <c r="I23" s="9" t="s">
        <v>58</v>
      </c>
      <c r="J23" s="6" t="n">
        <v>1</v>
      </c>
      <c r="K23" s="6" t="s">
        <v>59</v>
      </c>
    </row>
    <row r="24" customFormat="false" ht="23.3" hidden="false" customHeight="false" outlineLevel="0" collapsed="false">
      <c r="A24" s="1" t="s">
        <v>13</v>
      </c>
      <c r="B24" s="1" t="s">
        <v>54</v>
      </c>
      <c r="C24" s="1" t="str">
        <f aca="false">IF(D24="PRE","N/A",
IF(D24="SUP","N/A",
IF(D24="Single-choice",H24,
IF(D24="Single-choice w/ correct",H24,
IF(D24="Series", LEFT(H24,FIND("_",H24)-1) &amp; "_" &amp; MID(H24,FIND("_",H24,FIND("_",H24)+1)+1,999)
)))))</f>
        <v>DIGCONF_W127</v>
      </c>
      <c r="D24" s="6" t="s">
        <v>55</v>
      </c>
      <c r="E24" s="7" t="str">
        <f aca="false">IF(D24="PRE","N/A", 
IF(D24="SUP",I24, 
IF(D24="Single-choice",I24, 
IF(D24="Single-choice w/ correct",I24, 
IF(D24="Series", LEFT(I24, FIND("    ",I24)
))))))</f>
        <v>Overall, how confident do you feel using computers, smartphones, or other electronic devices to do the things you need to do online?</v>
      </c>
      <c r="F24" s="8" t="str">
        <f aca="false">IF(D24="PRE",I24,
IF(D24="SUP",I24,
IF(D24="Single-choice","N/A",
IF(D24="Single-choice w/ correct","N/A",
IF(D24="Series", RIGHT(I24, LEN(I24) - FIND("    ",I24)-3
))))))</f>
        <v>N/A</v>
      </c>
      <c r="G24" s="6" t="s">
        <v>56</v>
      </c>
      <c r="H24" s="10" t="s">
        <v>57</v>
      </c>
      <c r="I24" s="9" t="s">
        <v>58</v>
      </c>
      <c r="J24" s="10" t="n">
        <v>2</v>
      </c>
      <c r="K24" s="10" t="s">
        <v>60</v>
      </c>
    </row>
    <row r="25" customFormat="false" ht="23.3" hidden="false" customHeight="false" outlineLevel="0" collapsed="false">
      <c r="A25" s="1" t="s">
        <v>13</v>
      </c>
      <c r="B25" s="1" t="s">
        <v>54</v>
      </c>
      <c r="C25" s="1" t="str">
        <f aca="false">IF(D25="PRE","N/A",
IF(D25="SUP","N/A",
IF(D25="Single-choice",H25,
IF(D25="Single-choice w/ correct",H25,
IF(D25="Series", LEFT(H25,FIND("_",H25)-1) &amp; "_" &amp; MID(H25,FIND("_",H25,FIND("_",H25)+1)+1,999)
)))))</f>
        <v>DIGCONF_W127</v>
      </c>
      <c r="D25" s="6" t="s">
        <v>55</v>
      </c>
      <c r="E25" s="7" t="str">
        <f aca="false">IF(D25="PRE","N/A", 
IF(D25="SUP",I25, 
IF(D25="Single-choice",I25, 
IF(D25="Single-choice w/ correct",I25, 
IF(D25="Series", LEFT(I25, FIND("    ",I25)
))))))</f>
        <v>Overall, how confident do you feel using computers, smartphones, or other electronic devices to do the things you need to do online?</v>
      </c>
      <c r="F25" s="8" t="str">
        <f aca="false">IF(D25="PRE",I25,
IF(D25="SUP",I25,
IF(D25="Single-choice","N/A",
IF(D25="Single-choice w/ correct","N/A",
IF(D25="Series", RIGHT(I25, LEN(I25) - FIND("    ",I25)-3
))))))</f>
        <v>N/A</v>
      </c>
      <c r="G25" s="6" t="s">
        <v>56</v>
      </c>
      <c r="H25" s="10" t="s">
        <v>57</v>
      </c>
      <c r="I25" s="9" t="s">
        <v>58</v>
      </c>
      <c r="J25" s="10" t="n">
        <v>3</v>
      </c>
      <c r="K25" s="10" t="s">
        <v>61</v>
      </c>
    </row>
    <row r="26" customFormat="false" ht="23.3" hidden="false" customHeight="false" outlineLevel="0" collapsed="false">
      <c r="A26" s="1" t="s">
        <v>13</v>
      </c>
      <c r="B26" s="1" t="s">
        <v>54</v>
      </c>
      <c r="C26" s="1" t="str">
        <f aca="false">IF(D26="PRE","N/A",
IF(D26="SUP","N/A",
IF(D26="Single-choice",H26,
IF(D26="Single-choice w/ correct",H26,
IF(D26="Series", LEFT(H26,FIND("_",H26)-1) &amp; "_" &amp; MID(H26,FIND("_",H26,FIND("_",H26)+1)+1,999)
)))))</f>
        <v>DIGCONF_W127</v>
      </c>
      <c r="D26" s="6" t="s">
        <v>55</v>
      </c>
      <c r="E26" s="7" t="str">
        <f aca="false">IF(D26="PRE","N/A", 
IF(D26="SUP",I26, 
IF(D26="Single-choice",I26, 
IF(D26="Single-choice w/ correct",I26, 
IF(D26="Series", LEFT(I26, FIND("    ",I26)
))))))</f>
        <v>Overall, how confident do you feel using computers, smartphones, or other electronic devices to do the things you need to do online?</v>
      </c>
      <c r="F26" s="8" t="str">
        <f aca="false">IF(D26="PRE",I26,
IF(D26="SUP",I26,
IF(D26="Single-choice","N/A",
IF(D26="Single-choice w/ correct","N/A",
IF(D26="Series", RIGHT(I26, LEN(I26) - FIND("    ",I26)-3
))))))</f>
        <v>N/A</v>
      </c>
      <c r="G26" s="6" t="s">
        <v>62</v>
      </c>
      <c r="H26" s="10" t="s">
        <v>57</v>
      </c>
      <c r="I26" s="9" t="s">
        <v>58</v>
      </c>
      <c r="J26" s="10" t="n">
        <v>4</v>
      </c>
      <c r="K26" s="10" t="s">
        <v>63</v>
      </c>
    </row>
    <row r="27" customFormat="false" ht="23.3" hidden="false" customHeight="false" outlineLevel="0" collapsed="false">
      <c r="A27" s="1" t="s">
        <v>13</v>
      </c>
      <c r="B27" s="1" t="s">
        <v>54</v>
      </c>
      <c r="C27" s="1" t="str">
        <f aca="false">IF(D27="PRE","N/A",
IF(D27="SUP","N/A",
IF(D27="Single-choice",H27,
IF(D27="Single-choice w/ correct",H27,
IF(D27="Series", LEFT(H27,FIND("_",H27)-1) &amp; "_" &amp; MID(H27,FIND("_",H27,FIND("_",H27)+1)+1,999)
)))))</f>
        <v>DIGCONF_W127</v>
      </c>
      <c r="D27" s="6" t="s">
        <v>55</v>
      </c>
      <c r="E27" s="7" t="str">
        <f aca="false">IF(D27="PRE","N/A", 
IF(D27="SUP",I27, 
IF(D27="Single-choice",I27, 
IF(D27="Single-choice w/ correct",I27, 
IF(D27="Series", LEFT(I27, FIND("    ",I27)
))))))</f>
        <v>Overall, how confident do you feel using computers, smartphones, or other electronic devices to do the things you need to do online?</v>
      </c>
      <c r="F27" s="8" t="str">
        <f aca="false">IF(D27="PRE",I27,
IF(D27="SUP",I27,
IF(D27="Single-choice","N/A",
IF(D27="Single-choice w/ correct","N/A",
IF(D27="Series", RIGHT(I27, LEN(I27) - FIND("    ",I27)-3
))))))</f>
        <v>N/A</v>
      </c>
      <c r="G27" s="6" t="s">
        <v>56</v>
      </c>
      <c r="H27" s="10" t="s">
        <v>57</v>
      </c>
      <c r="I27" s="9" t="s">
        <v>58</v>
      </c>
      <c r="J27" s="10" t="n">
        <v>99</v>
      </c>
      <c r="K27" s="10" t="s">
        <v>64</v>
      </c>
    </row>
    <row r="28" customFormat="false" ht="15" hidden="false" customHeight="true" outlineLevel="0" collapsed="false">
      <c r="A28" s="1" t="s">
        <v>13</v>
      </c>
      <c r="B28" s="1" t="s">
        <v>54</v>
      </c>
      <c r="C28" s="1" t="str">
        <f aca="false">IF(D28="PRE","N/A",
IF(D28="SUP","N/A",
IF(D28="Single-choice",H28,
IF(D28="Single-choice w/ correct",H28,
IF(D28="Series", LEFT(H28,FIND("_",H28)-1) &amp; "_" &amp; MID(H28,FIND("_",H28,FIND("_",H28)+1)+1,999)
)))))</f>
        <v>TECHHELP_W127</v>
      </c>
      <c r="D28" s="6" t="s">
        <v>55</v>
      </c>
      <c r="E28" s="7" t="str">
        <f aca="false">IF(D28="PRE","N/A", 
IF(D28="SUP",I28, 
IF(D28="Single-choice",I28, 
IF(D28="Single-choice w/ correct",I28, 
IF(D28="Series", LEFT(I28, FIND("    ",I28)
))))))</f>
        <v>Which of the following best describes you, even if neither is exactly right? When I get a new computer, smartphone, or other electronic device, I usually…</v>
      </c>
      <c r="F28" s="8" t="str">
        <f aca="false">IF(D28="PRE",I28,
IF(D28="SUP",I28,
IF(D28="Single-choice","N/A",
IF(D28="Single-choice w/ correct","N/A",
IF(D28="Series", RIGHT(I28, LEN(I28) - FIND("    ",I28)-3
))))))</f>
        <v>N/A</v>
      </c>
      <c r="G28" s="6" t="s">
        <v>56</v>
      </c>
      <c r="H28" s="6" t="s">
        <v>65</v>
      </c>
      <c r="I28" s="9" t="s">
        <v>66</v>
      </c>
      <c r="J28" s="6" t="n">
        <v>1</v>
      </c>
      <c r="K28" s="6" t="s">
        <v>67</v>
      </c>
    </row>
    <row r="29" customFormat="false" ht="34.2" hidden="false" customHeight="false" outlineLevel="0" collapsed="false">
      <c r="A29" s="1" t="s">
        <v>13</v>
      </c>
      <c r="B29" s="1" t="s">
        <v>54</v>
      </c>
      <c r="C29" s="1" t="str">
        <f aca="false">IF(D29="PRE","N/A",
IF(D29="SUP","N/A",
IF(D29="Single-choice",H29,
IF(D29="Single-choice w/ correct",H29,
IF(D29="Series", LEFT(H29,FIND("_",H29)-1) &amp; "_" &amp; MID(H29,FIND("_",H29,FIND("_",H29)+1)+1,999)
)))))</f>
        <v>TECHHELP_W127</v>
      </c>
      <c r="D29" s="6" t="s">
        <v>55</v>
      </c>
      <c r="E29" s="7" t="str">
        <f aca="false">IF(D29="PRE","N/A", 
IF(D29="SUP",I29, 
IF(D29="Single-choice",I29, 
IF(D29="Single-choice w/ correct",I29, 
IF(D29="Series", LEFT(I29, FIND("    ",I29)
))))))</f>
        <v>Which of the following best describes you, even if neither is exactly right? When I get a new computer, smartphone, or other electronic device, I usually…</v>
      </c>
      <c r="F29" s="8" t="str">
        <f aca="false">IF(D29="PRE",I29,
IF(D29="SUP",I29,
IF(D29="Single-choice","N/A",
IF(D29="Single-choice w/ correct","N/A",
IF(D29="Series", RIGHT(I29, LEN(I29) - FIND("    ",I29)-3
))))))</f>
        <v>N/A</v>
      </c>
      <c r="G29" s="6" t="s">
        <v>56</v>
      </c>
      <c r="H29" s="10" t="s">
        <v>65</v>
      </c>
      <c r="I29" s="9" t="s">
        <v>66</v>
      </c>
      <c r="J29" s="10" t="n">
        <v>2</v>
      </c>
      <c r="K29" s="10" t="s">
        <v>68</v>
      </c>
    </row>
    <row r="30" customFormat="false" ht="34.2" hidden="false" customHeight="false" outlineLevel="0" collapsed="false">
      <c r="A30" s="1" t="s">
        <v>13</v>
      </c>
      <c r="B30" s="1" t="s">
        <v>54</v>
      </c>
      <c r="C30" s="1" t="str">
        <f aca="false">IF(D30="PRE","N/A",
IF(D30="SUP","N/A",
IF(D30="Single-choice",H30,
IF(D30="Single-choice w/ correct",H30,
IF(D30="Series", LEFT(H30,FIND("_",H30)-1) &amp; "_" &amp; MID(H30,FIND("_",H30,FIND("_",H30)+1)+1,999)
)))))</f>
        <v>TECHHELP_W127</v>
      </c>
      <c r="D30" s="6" t="s">
        <v>55</v>
      </c>
      <c r="E30" s="7" t="str">
        <f aca="false">IF(D30="PRE","N/A", 
IF(D30="SUP",I30, 
IF(D30="Single-choice",I30, 
IF(D30="Single-choice w/ correct",I30, 
IF(D30="Series", LEFT(I30, FIND("    ",I30)
))))))</f>
        <v>Which of the following best describes you, even if neither is exactly right? When I get a new computer, smartphone, or other electronic device, I usually…</v>
      </c>
      <c r="F30" s="8" t="str">
        <f aca="false">IF(D30="PRE",I30,
IF(D30="SUP",I30,
IF(D30="Single-choice","N/A",
IF(D30="Single-choice w/ correct","N/A",
IF(D30="Series", RIGHT(I30, LEN(I30) - FIND("    ",I30)-3
))))))</f>
        <v>N/A</v>
      </c>
      <c r="G30" s="6" t="s">
        <v>56</v>
      </c>
      <c r="H30" s="10" t="s">
        <v>65</v>
      </c>
      <c r="I30" s="9" t="s">
        <v>66</v>
      </c>
      <c r="J30" s="10" t="n">
        <v>99</v>
      </c>
      <c r="K30" s="10" t="s">
        <v>64</v>
      </c>
    </row>
    <row r="31" customFormat="false" ht="15" hidden="false" customHeight="true" outlineLevel="0" collapsed="false">
      <c r="A31" s="1" t="s">
        <v>13</v>
      </c>
      <c r="B31" s="1" t="s">
        <v>54</v>
      </c>
      <c r="C31" s="1" t="str">
        <f aca="false">IF(D31="PRE","N/A",
IF(D31="SUP","N/A",
IF(D31="Single-choice",H31,
IF(D31="Single-choice w/ correct",H31,
IF(D31="Series", LEFT(H31,FIND("_",H31)-1) &amp; "_" &amp; MID(H31,FIND("_",H31,FIND("_",H31)+1)+1,999)
)))))</f>
        <v>SMARTPHONE_W127</v>
      </c>
      <c r="D31" s="6" t="s">
        <v>55</v>
      </c>
      <c r="E31" s="7" t="str">
        <f aca="false">IF(D31="PRE","N/A", 
IF(D31="SUP",I31, 
IF(D31="Single-choice",I31, 
IF(D31="Single-choice w/ correct",I31, 
IF(D31="Series", LEFT(I31, FIND("    ",I31)
))))))</f>
        <v>Do you have a smartphone?</v>
      </c>
      <c r="F31" s="8" t="str">
        <f aca="false">IF(D31="PRE",I31,
IF(D31="SUP",I31,
IF(D31="Single-choice","N/A",
IF(D31="Single-choice w/ correct","N/A",
IF(D31="Series", RIGHT(I31, LEN(I31) - FIND("    ",I31)-3
))))))</f>
        <v>N/A</v>
      </c>
      <c r="G31" s="6" t="s">
        <v>56</v>
      </c>
      <c r="H31" s="6" t="s">
        <v>69</v>
      </c>
      <c r="I31" s="9" t="s">
        <v>70</v>
      </c>
      <c r="J31" s="6" t="n">
        <v>1</v>
      </c>
      <c r="K31" s="6" t="s">
        <v>71</v>
      </c>
    </row>
    <row r="32" customFormat="false" ht="15" hidden="false" customHeight="false" outlineLevel="0" collapsed="false">
      <c r="A32" s="1" t="s">
        <v>13</v>
      </c>
      <c r="B32" s="1" t="s">
        <v>54</v>
      </c>
      <c r="C32" s="1" t="str">
        <f aca="false">IF(D32="PRE","N/A",
IF(D32="SUP","N/A",
IF(D32="Single-choice",H32,
IF(D32="Single-choice w/ correct",H32,
IF(D32="Series", LEFT(H32,FIND("_",H32)-1) &amp; "_" &amp; MID(H32,FIND("_",H32,FIND("_",H32)+1)+1,999)
)))))</f>
        <v>SMARTPHONE_W127</v>
      </c>
      <c r="D32" s="6" t="s">
        <v>55</v>
      </c>
      <c r="E32" s="7" t="str">
        <f aca="false">IF(D32="PRE","N/A", 
IF(D32="SUP",I32, 
IF(D32="Single-choice",I32, 
IF(D32="Single-choice w/ correct",I32, 
IF(D32="Series", LEFT(I32, FIND("    ",I32)
))))))</f>
        <v>Do you have a smartphone?</v>
      </c>
      <c r="F32" s="8" t="str">
        <f aca="false">IF(D32="PRE",I32,
IF(D32="SUP",I32,
IF(D32="Single-choice","N/A",
IF(D32="Single-choice w/ correct","N/A",
IF(D32="Series", RIGHT(I32, LEN(I32) - FIND("    ",I32)-3
))))))</f>
        <v>N/A</v>
      </c>
      <c r="G32" s="6" t="s">
        <v>56</v>
      </c>
      <c r="H32" s="10" t="s">
        <v>69</v>
      </c>
      <c r="I32" s="9" t="s">
        <v>70</v>
      </c>
      <c r="J32" s="10" t="n">
        <v>2</v>
      </c>
      <c r="K32" s="10" t="s">
        <v>72</v>
      </c>
    </row>
    <row r="33" customFormat="false" ht="15" hidden="false" customHeight="false" outlineLevel="0" collapsed="false">
      <c r="A33" s="1" t="s">
        <v>13</v>
      </c>
      <c r="B33" s="1" t="s">
        <v>54</v>
      </c>
      <c r="C33" s="1" t="str">
        <f aca="false">IF(D33="PRE","N/A",
IF(D33="SUP","N/A",
IF(D33="Single-choice",H33,
IF(D33="Single-choice w/ correct",H33,
IF(D33="Series", LEFT(H33,FIND("_",H33)-1) &amp; "_" &amp; MID(H33,FIND("_",H33,FIND("_",H33)+1)+1,999)
)))))</f>
        <v>SMARTPHONE_W127</v>
      </c>
      <c r="D33" s="6" t="s">
        <v>55</v>
      </c>
      <c r="E33" s="7" t="str">
        <f aca="false">IF(D33="PRE","N/A", 
IF(D33="SUP",I33, 
IF(D33="Single-choice",I33, 
IF(D33="Single-choice w/ correct",I33, 
IF(D33="Series", LEFT(I33, FIND("    ",I33)
))))))</f>
        <v>Do you have a smartphone?</v>
      </c>
      <c r="F33" s="8" t="str">
        <f aca="false">IF(D33="PRE",I33,
IF(D33="SUP",I33,
IF(D33="Single-choice","N/A",
IF(D33="Single-choice w/ correct","N/A",
IF(D33="Series", RIGHT(I33, LEN(I33) - FIND("    ",I33)-3
))))))</f>
        <v>N/A</v>
      </c>
      <c r="G33" s="6" t="s">
        <v>56</v>
      </c>
      <c r="H33" s="10" t="s">
        <v>69</v>
      </c>
      <c r="I33" s="9" t="s">
        <v>70</v>
      </c>
      <c r="J33" s="10" t="n">
        <v>99</v>
      </c>
      <c r="K33" s="10" t="s">
        <v>64</v>
      </c>
    </row>
    <row r="34" customFormat="false" ht="15" hidden="false" customHeight="true" outlineLevel="0" collapsed="false">
      <c r="A34" s="1" t="s">
        <v>13</v>
      </c>
      <c r="B34" s="1" t="s">
        <v>54</v>
      </c>
      <c r="C34" s="1" t="str">
        <f aca="false">IF(D34="PRE","N/A",
IF(D34="SUP","N/A",
IF(D34="Single-choice",H34,
IF(D34="Single-choice w/ correct",H34,
IF(D34="Series", LEFT(H34,FIND("_",H34)-1) &amp; "_" &amp; MID(H34,FIND("_",H34,FIND("_",H34)+1)+1,999)
)))))</f>
        <v>SNSUSE_W127</v>
      </c>
      <c r="D34" s="6" t="s">
        <v>55</v>
      </c>
      <c r="E34" s="7" t="str">
        <f aca="false">IF(D34="PRE","N/A", 
IF(D34="SUP",I34, 
IF(D34="Single-choice",I34, 
IF(D34="Single-choice w/ correct",I34, 
IF(D34="Series", LEFT(I34, FIND("    ",I34)
))))))</f>
        <v>Do you ever use social media sites like Facebook, Twitter, or Instagram?</v>
      </c>
      <c r="F34" s="8" t="str">
        <f aca="false">IF(D34="PRE",I34,
IF(D34="SUP",I34,
IF(D34="Single-choice","N/A",
IF(D34="Single-choice w/ correct","N/A",
IF(D34="Series", RIGHT(I34, LEN(I34) - FIND("    ",I34)-3
))))))</f>
        <v>N/A</v>
      </c>
      <c r="G34" s="6" t="s">
        <v>73</v>
      </c>
      <c r="H34" s="6" t="s">
        <v>74</v>
      </c>
      <c r="I34" s="9" t="s">
        <v>75</v>
      </c>
      <c r="J34" s="6" t="n">
        <v>1</v>
      </c>
      <c r="K34" s="6" t="s">
        <v>76</v>
      </c>
    </row>
    <row r="35" customFormat="false" ht="15" hidden="false" customHeight="false" outlineLevel="0" collapsed="false">
      <c r="A35" s="1" t="s">
        <v>13</v>
      </c>
      <c r="B35" s="1" t="s">
        <v>54</v>
      </c>
      <c r="C35" s="1" t="str">
        <f aca="false">IF(D35="PRE","N/A",
IF(D35="SUP","N/A",
IF(D35="Single-choice",H35,
IF(D35="Single-choice w/ correct",H35,
IF(D35="Series", LEFT(H35,FIND("_",H35)-1) &amp; "_" &amp; MID(H35,FIND("_",H35,FIND("_",H35)+1)+1,999)
)))))</f>
        <v>SNSUSE_W127</v>
      </c>
      <c r="D35" s="6" t="s">
        <v>55</v>
      </c>
      <c r="E35" s="7" t="str">
        <f aca="false">IF(D35="PRE","N/A", 
IF(D35="SUP",I35, 
IF(D35="Single-choice",I35, 
IF(D35="Single-choice w/ correct",I35, 
IF(D35="Series", LEFT(I35, FIND("    ",I35)
))))))</f>
        <v>Do you ever use social media sites like Facebook, Twitter, or Instagram?</v>
      </c>
      <c r="F35" s="8" t="str">
        <f aca="false">IF(D35="PRE",I35,
IF(D35="SUP",I35,
IF(D35="Single-choice","N/A",
IF(D35="Single-choice w/ correct","N/A",
IF(D35="Series", RIGHT(I35, LEN(I35) - FIND("    ",I35)-3
))))))</f>
        <v>N/A</v>
      </c>
      <c r="G35" s="6" t="s">
        <v>73</v>
      </c>
      <c r="H35" s="10" t="s">
        <v>74</v>
      </c>
      <c r="I35" s="9" t="s">
        <v>75</v>
      </c>
      <c r="J35" s="10" t="n">
        <v>2</v>
      </c>
      <c r="K35" s="10" t="s">
        <v>77</v>
      </c>
    </row>
    <row r="36" customFormat="false" ht="15" hidden="false" customHeight="false" outlineLevel="0" collapsed="false">
      <c r="A36" s="1" t="s">
        <v>13</v>
      </c>
      <c r="B36" s="1" t="s">
        <v>54</v>
      </c>
      <c r="C36" s="1" t="str">
        <f aca="false">IF(D36="PRE","N/A",
IF(D36="SUP","N/A",
IF(D36="Single-choice",H36,
IF(D36="Single-choice w/ correct",H36,
IF(D36="Series", LEFT(H36,FIND("_",H36)-1) &amp; "_" &amp; MID(H36,FIND("_",H36,FIND("_",H36)+1)+1,999)
)))))</f>
        <v>SNSUSE_W127</v>
      </c>
      <c r="D36" s="6" t="s">
        <v>55</v>
      </c>
      <c r="E36" s="7" t="str">
        <f aca="false">IF(D36="PRE","N/A", 
IF(D36="SUP",I36, 
IF(D36="Single-choice",I36, 
IF(D36="Single-choice w/ correct",I36, 
IF(D36="Series", LEFT(I36, FIND("    ",I36)
))))))</f>
        <v>Do you ever use social media sites like Facebook, Twitter, or Instagram?</v>
      </c>
      <c r="F36" s="8" t="str">
        <f aca="false">IF(D36="PRE",I36,
IF(D36="SUP",I36,
IF(D36="Single-choice","N/A",
IF(D36="Single-choice w/ correct","N/A",
IF(D36="Series", RIGHT(I36, LEN(I36) - FIND("    ",I36)-3
))))))</f>
        <v>N/A</v>
      </c>
      <c r="G36" s="6" t="s">
        <v>73</v>
      </c>
      <c r="H36" s="10" t="s">
        <v>74</v>
      </c>
      <c r="I36" s="9" t="s">
        <v>75</v>
      </c>
      <c r="J36" s="10" t="n">
        <v>99</v>
      </c>
      <c r="K36" s="10" t="s">
        <v>64</v>
      </c>
    </row>
    <row r="37" customFormat="false" ht="69.5" hidden="false" customHeight="true" outlineLevel="0" collapsed="false">
      <c r="A37" s="1" t="s">
        <v>13</v>
      </c>
      <c r="B37" s="1" t="s">
        <v>54</v>
      </c>
      <c r="C37" s="1" t="str">
        <f aca="false">IF(D37="PRE","N/A",
IF(D37="SUP","N/A",
IF(D37="Single-choice",H37,
IF(D37="Single-choice w/ correct",H37,
IF(D37="Series", LEFT(H37,FIND("_",H37)-1) &amp; "_" &amp; MID(H37,FIND("_",H37,FIND("_",H37)+1)+1,999)
)))))</f>
        <v>SM9_W127</v>
      </c>
      <c r="D37" s="6" t="s">
        <v>78</v>
      </c>
      <c r="E37" s="7" t="str">
        <f aca="false">IF(D37="PRE","N/A", 
IF(D37="SUP",I37, 
IF(D37="Single-choice",I37, 
IF(D37="Single-choice w/ correct",I37, 
IF(D37="Series", LEFT(I37, FIND("    ",I37)
))))))</f>
        <v>How well do you think each of the following statements describes social media? Social media… </v>
      </c>
      <c r="F37" s="8" t="str">
        <f aca="false">IF(D37="PRE",I37,
IF(D37="SUP",I37,
IF(D37="Single-choice","N/A",
IF(D37="Single-choice w/ correct","N/A",
IF(D37="Series", RIGHT(I37, LEN(I37) - FIND("    ",I37)-3
))))))</f>
        <v>Helps give a voice to underrepresented groups</v>
      </c>
      <c r="G37" s="6" t="s">
        <v>56</v>
      </c>
      <c r="H37" s="6" t="s">
        <v>79</v>
      </c>
      <c r="I37" s="9" t="s">
        <v>80</v>
      </c>
      <c r="J37" s="6" t="n">
        <v>1</v>
      </c>
      <c r="K37" s="6" t="s">
        <v>81</v>
      </c>
    </row>
    <row r="38" customFormat="false" ht="23.3" hidden="false" customHeight="false" outlineLevel="0" collapsed="false">
      <c r="A38" s="1" t="s">
        <v>13</v>
      </c>
      <c r="B38" s="1" t="s">
        <v>54</v>
      </c>
      <c r="C38" s="1" t="str">
        <f aca="false">IF(D38="PRE","N/A",
IF(D38="SUP","N/A",
IF(D38="Single-choice",H38,
IF(D38="Single-choice w/ correct",H38,
IF(D38="Series", LEFT(H38,FIND("_",H38)-1) &amp; "_" &amp; MID(H38,FIND("_",H38,FIND("_",H38)+1)+1,999)
)))))</f>
        <v>SM9_W127</v>
      </c>
      <c r="D38" s="6" t="s">
        <v>78</v>
      </c>
      <c r="E38" s="7" t="str">
        <f aca="false">IF(D38="PRE","N/A", 
IF(D38="SUP",I38, 
IF(D38="Single-choice",I38, 
IF(D38="Single-choice w/ correct",I38, 
IF(D38="Series", LEFT(I38, FIND("    ",I38)
))))))</f>
        <v>How well do you think each of the following statements describes social media? Social media… </v>
      </c>
      <c r="F38" s="8" t="str">
        <f aca="false">IF(D38="PRE",I38,
IF(D38="SUP",I38,
IF(D38="Single-choice","N/A",
IF(D38="Single-choice w/ correct","N/A",
IF(D38="Series", RIGHT(I38, LEN(I38) - FIND("    ",I38)-3
))))))</f>
        <v>Helps give a voice to underrepresented groups</v>
      </c>
      <c r="G38" s="6" t="s">
        <v>56</v>
      </c>
      <c r="H38" s="10" t="s">
        <v>79</v>
      </c>
      <c r="I38" s="9" t="s">
        <v>80</v>
      </c>
      <c r="J38" s="10" t="n">
        <v>2</v>
      </c>
      <c r="K38" s="10" t="s">
        <v>82</v>
      </c>
    </row>
    <row r="39" customFormat="false" ht="23.3" hidden="false" customHeight="false" outlineLevel="0" collapsed="false">
      <c r="A39" s="1" t="s">
        <v>13</v>
      </c>
      <c r="B39" s="1" t="s">
        <v>54</v>
      </c>
      <c r="C39" s="1" t="str">
        <f aca="false">IF(D39="PRE","N/A",
IF(D39="SUP","N/A",
IF(D39="Single-choice",H39,
IF(D39="Single-choice w/ correct",H39,
IF(D39="Series", LEFT(H39,FIND("_",H39)-1) &amp; "_" &amp; MID(H39,FIND("_",H39,FIND("_",H39)+1)+1,999)
)))))</f>
        <v>SM9_W127</v>
      </c>
      <c r="D39" s="6" t="s">
        <v>78</v>
      </c>
      <c r="E39" s="7" t="str">
        <f aca="false">IF(D39="PRE","N/A", 
IF(D39="SUP",I39, 
IF(D39="Single-choice",I39, 
IF(D39="Single-choice w/ correct",I39, 
IF(D39="Series", LEFT(I39, FIND("    ",I39)
))))))</f>
        <v>How well do you think each of the following statements describes social media? Social media… </v>
      </c>
      <c r="F39" s="8" t="str">
        <f aca="false">IF(D39="PRE",I39,
IF(D39="SUP",I39,
IF(D39="Single-choice","N/A",
IF(D39="Single-choice w/ correct","N/A",
IF(D39="Series", RIGHT(I39, LEN(I39) - FIND("    ",I39)-3
))))))</f>
        <v>Helps give a voice to underrepresented groups</v>
      </c>
      <c r="G39" s="6" t="s">
        <v>56</v>
      </c>
      <c r="H39" s="10" t="s">
        <v>79</v>
      </c>
      <c r="I39" s="9" t="s">
        <v>80</v>
      </c>
      <c r="J39" s="10" t="n">
        <v>3</v>
      </c>
      <c r="K39" s="10" t="s">
        <v>83</v>
      </c>
    </row>
    <row r="40" customFormat="false" ht="23.3" hidden="false" customHeight="false" outlineLevel="0" collapsed="false">
      <c r="A40" s="1" t="s">
        <v>13</v>
      </c>
      <c r="B40" s="1" t="s">
        <v>54</v>
      </c>
      <c r="C40" s="1" t="str">
        <f aca="false">IF(D40="PRE","N/A",
IF(D40="SUP","N/A",
IF(D40="Single-choice",H40,
IF(D40="Single-choice w/ correct",H40,
IF(D40="Series", LEFT(H40,FIND("_",H40)-1) &amp; "_" &amp; MID(H40,FIND("_",H40,FIND("_",H40)+1)+1,999)
)))))</f>
        <v>SM9_W127</v>
      </c>
      <c r="D40" s="6" t="s">
        <v>78</v>
      </c>
      <c r="E40" s="7" t="str">
        <f aca="false">IF(D40="PRE","N/A", 
IF(D40="SUP",I40, 
IF(D40="Single-choice",I40, 
IF(D40="Single-choice w/ correct",I40, 
IF(D40="Series", LEFT(I40, FIND("    ",I40)
))))))</f>
        <v>How well do you think each of the following statements describes social media? Social media… </v>
      </c>
      <c r="F40" s="8" t="str">
        <f aca="false">IF(D40="PRE",I40,
IF(D40="SUP",I40,
IF(D40="Single-choice","N/A",
IF(D40="Single-choice w/ correct","N/A",
IF(D40="Series", RIGHT(I40, LEN(I40) - FIND("    ",I40)-3
))))))</f>
        <v>Helps give a voice to underrepresented groups</v>
      </c>
      <c r="G40" s="6" t="s">
        <v>56</v>
      </c>
      <c r="H40" s="10" t="s">
        <v>79</v>
      </c>
      <c r="I40" s="9" t="s">
        <v>80</v>
      </c>
      <c r="J40" s="10" t="n">
        <v>4</v>
      </c>
      <c r="K40" s="10" t="s">
        <v>84</v>
      </c>
    </row>
    <row r="41" customFormat="false" ht="23.3" hidden="false" customHeight="false" outlineLevel="0" collapsed="false">
      <c r="A41" s="1" t="s">
        <v>13</v>
      </c>
      <c r="B41" s="1" t="s">
        <v>54</v>
      </c>
      <c r="C41" s="1" t="str">
        <f aca="false">IF(D41="PRE","N/A",
IF(D41="SUP","N/A",
IF(D41="Single-choice",H41,
IF(D41="Single-choice w/ correct",H41,
IF(D41="Series", LEFT(H41,FIND("_",H41)-1) &amp; "_" &amp; MID(H41,FIND("_",H41,FIND("_",H41)+1)+1,999)
)))))</f>
        <v>SM9_W127</v>
      </c>
      <c r="D41" s="6" t="s">
        <v>78</v>
      </c>
      <c r="E41" s="7" t="str">
        <f aca="false">IF(D41="PRE","N/A", 
IF(D41="SUP",I41, 
IF(D41="Single-choice",I41, 
IF(D41="Single-choice w/ correct",I41, 
IF(D41="Series", LEFT(I41, FIND("    ",I41)
))))))</f>
        <v>How well do you think each of the following statements describes social media? Social media… </v>
      </c>
      <c r="F41" s="8" t="str">
        <f aca="false">IF(D41="PRE",I41,
IF(D41="SUP",I41,
IF(D41="Single-choice","N/A",
IF(D41="Single-choice w/ correct","N/A",
IF(D41="Series", RIGHT(I41, LEN(I41) - FIND("    ",I41)-3
))))))</f>
        <v>Helps give a voice to underrepresented groups</v>
      </c>
      <c r="G41" s="6" t="s">
        <v>56</v>
      </c>
      <c r="H41" s="10" t="s">
        <v>79</v>
      </c>
      <c r="I41" s="9" t="s">
        <v>80</v>
      </c>
      <c r="J41" s="10" t="n">
        <v>99</v>
      </c>
      <c r="K41" s="10" t="s">
        <v>64</v>
      </c>
    </row>
    <row r="42" customFormat="false" ht="15" hidden="false" customHeight="true" outlineLevel="0" collapsed="false">
      <c r="A42" s="1" t="s">
        <v>13</v>
      </c>
      <c r="B42" s="1" t="s">
        <v>54</v>
      </c>
      <c r="C42" s="1" t="str">
        <f aca="false">IF(D42="PRE","N/A",
IF(D42="SUP","N/A",
IF(D42="Single-choice",H42,
IF(D42="Single-choice w/ correct",H42,
IF(D42="Series", LEFT(H42,FIND("_",H42)-1) &amp; "_" &amp; MID(H42,FIND("_",H42,FIND("_",H42)+1)+1,999)
)))))</f>
        <v>SM9_W127</v>
      </c>
      <c r="D42" s="6" t="s">
        <v>78</v>
      </c>
      <c r="E42" s="7" t="str">
        <f aca="false">IF(D42="PRE","N/A", 
IF(D42="SUP",I42, 
IF(D42="Single-choice",I42, 
IF(D42="Single-choice w/ correct",I42, 
IF(D42="Series", LEFT(I42, FIND("    ",I42)
))))))</f>
        <v>How well do you think each of the following statements describes social media? Social media… </v>
      </c>
      <c r="F42" s="8" t="str">
        <f aca="false">IF(D42="PRE",I42,
IF(D42="SUP",I42,
IF(D42="Single-choice","N/A",
IF(D42="Single-choice w/ correct","N/A",
IF(D42="Series", RIGHT(I42, LEN(I42) - FIND("    ",I42)-3
))))))</f>
        <v>Distracts people from issues that are truly important</v>
      </c>
      <c r="G42" s="6" t="s">
        <v>56</v>
      </c>
      <c r="H42" s="6" t="s">
        <v>85</v>
      </c>
      <c r="I42" s="9" t="s">
        <v>86</v>
      </c>
      <c r="J42" s="6" t="n">
        <v>1</v>
      </c>
      <c r="K42" s="6" t="s">
        <v>81</v>
      </c>
    </row>
    <row r="43" customFormat="false" ht="34.2" hidden="false" customHeight="false" outlineLevel="0" collapsed="false">
      <c r="A43" s="1" t="s">
        <v>13</v>
      </c>
      <c r="B43" s="1" t="s">
        <v>54</v>
      </c>
      <c r="C43" s="1" t="str">
        <f aca="false">IF(D43="PRE","N/A",
IF(D43="SUP","N/A",
IF(D43="Single-choice",H43,
IF(D43="Single-choice w/ correct",H43,
IF(D43="Series", LEFT(H43,FIND("_",H43)-1) &amp; "_" &amp; MID(H43,FIND("_",H43,FIND("_",H43)+1)+1,999)
)))))</f>
        <v>SM9_W127</v>
      </c>
      <c r="D43" s="6" t="s">
        <v>78</v>
      </c>
      <c r="E43" s="7" t="str">
        <f aca="false">IF(D43="PRE","N/A", 
IF(D43="SUP",I43, 
IF(D43="Single-choice",I43, 
IF(D43="Single-choice w/ correct",I43, 
IF(D43="Series", LEFT(I43, FIND("    ",I43)
))))))</f>
        <v>How well do you think each of the following statements describes social media? Social media… </v>
      </c>
      <c r="F43" s="8" t="str">
        <f aca="false">IF(D43="PRE",I43,
IF(D43="SUP",I43,
IF(D43="Single-choice","N/A",
IF(D43="Single-choice w/ correct","N/A",
IF(D43="Series", RIGHT(I43, LEN(I43) - FIND("    ",I43)-3
))))))</f>
        <v>Distracts people from issues that are truly important</v>
      </c>
      <c r="G43" s="6" t="s">
        <v>56</v>
      </c>
      <c r="H43" s="10" t="s">
        <v>85</v>
      </c>
      <c r="I43" s="9" t="s">
        <v>86</v>
      </c>
      <c r="J43" s="10" t="n">
        <v>2</v>
      </c>
      <c r="K43" s="10" t="s">
        <v>82</v>
      </c>
    </row>
    <row r="44" customFormat="false" ht="34.2" hidden="false" customHeight="false" outlineLevel="0" collapsed="false">
      <c r="A44" s="1" t="s">
        <v>13</v>
      </c>
      <c r="B44" s="1" t="s">
        <v>54</v>
      </c>
      <c r="C44" s="1" t="str">
        <f aca="false">IF(D44="PRE","N/A",
IF(D44="SUP","N/A",
IF(D44="Single-choice",H44,
IF(D44="Single-choice w/ correct",H44,
IF(D44="Series", LEFT(H44,FIND("_",H44)-1) &amp; "_" &amp; MID(H44,FIND("_",H44,FIND("_",H44)+1)+1,999)
)))))</f>
        <v>SM9_W127</v>
      </c>
      <c r="D44" s="6" t="s">
        <v>78</v>
      </c>
      <c r="E44" s="7" t="str">
        <f aca="false">IF(D44="PRE","N/A", 
IF(D44="SUP",I44, 
IF(D44="Single-choice",I44, 
IF(D44="Single-choice w/ correct",I44, 
IF(D44="Series", LEFT(I44, FIND("    ",I44)
))))))</f>
        <v>How well do you think each of the following statements describes social media? Social media… </v>
      </c>
      <c r="F44" s="8" t="str">
        <f aca="false">IF(D44="PRE",I44,
IF(D44="SUP",I44,
IF(D44="Single-choice","N/A",
IF(D44="Single-choice w/ correct","N/A",
IF(D44="Series", RIGHT(I44, LEN(I44) - FIND("    ",I44)-3
))))))</f>
        <v>Distracts people from issues that are truly important</v>
      </c>
      <c r="G44" s="6" t="s">
        <v>56</v>
      </c>
      <c r="H44" s="10" t="s">
        <v>85</v>
      </c>
      <c r="I44" s="9" t="s">
        <v>86</v>
      </c>
      <c r="J44" s="10" t="n">
        <v>3</v>
      </c>
      <c r="K44" s="10" t="s">
        <v>83</v>
      </c>
    </row>
    <row r="45" customFormat="false" ht="34.2" hidden="false" customHeight="false" outlineLevel="0" collapsed="false">
      <c r="A45" s="1" t="s">
        <v>13</v>
      </c>
      <c r="B45" s="1" t="s">
        <v>54</v>
      </c>
      <c r="C45" s="1" t="str">
        <f aca="false">IF(D45="PRE","N/A",
IF(D45="SUP","N/A",
IF(D45="Single-choice",H45,
IF(D45="Single-choice w/ correct",H45,
IF(D45="Series", LEFT(H45,FIND("_",H45)-1) &amp; "_" &amp; MID(H45,FIND("_",H45,FIND("_",H45)+1)+1,999)
)))))</f>
        <v>SM9_W127</v>
      </c>
      <c r="D45" s="6" t="s">
        <v>78</v>
      </c>
      <c r="E45" s="7" t="str">
        <f aca="false">IF(D45="PRE","N/A", 
IF(D45="SUP",I45, 
IF(D45="Single-choice",I45, 
IF(D45="Single-choice w/ correct",I45, 
IF(D45="Series", LEFT(I45, FIND("    ",I45)
))))))</f>
        <v>How well do you think each of the following statements describes social media? Social media… </v>
      </c>
      <c r="F45" s="8" t="str">
        <f aca="false">IF(D45="PRE",I45,
IF(D45="SUP",I45,
IF(D45="Single-choice","N/A",
IF(D45="Single-choice w/ correct","N/A",
IF(D45="Series", RIGHT(I45, LEN(I45) - FIND("    ",I45)-3
))))))</f>
        <v>Distracts people from issues that are truly important</v>
      </c>
      <c r="G45" s="6" t="s">
        <v>56</v>
      </c>
      <c r="H45" s="10" t="s">
        <v>85</v>
      </c>
      <c r="I45" s="9" t="s">
        <v>86</v>
      </c>
      <c r="J45" s="10" t="n">
        <v>4</v>
      </c>
      <c r="K45" s="10" t="s">
        <v>84</v>
      </c>
    </row>
    <row r="46" customFormat="false" ht="34.2" hidden="false" customHeight="false" outlineLevel="0" collapsed="false">
      <c r="A46" s="1" t="s">
        <v>13</v>
      </c>
      <c r="B46" s="1" t="s">
        <v>54</v>
      </c>
      <c r="C46" s="1" t="str">
        <f aca="false">IF(D46="PRE","N/A",
IF(D46="SUP","N/A",
IF(D46="Single-choice",H46,
IF(D46="Single-choice w/ correct",H46,
IF(D46="Series", LEFT(H46,FIND("_",H46)-1) &amp; "_" &amp; MID(H46,FIND("_",H46,FIND("_",H46)+1)+1,999)
)))))</f>
        <v>SM9_W127</v>
      </c>
      <c r="D46" s="6" t="s">
        <v>78</v>
      </c>
      <c r="E46" s="7" t="str">
        <f aca="false">IF(D46="PRE","N/A", 
IF(D46="SUP",I46, 
IF(D46="Single-choice",I46, 
IF(D46="Single-choice w/ correct",I46, 
IF(D46="Series", LEFT(I46, FIND("    ",I46)
))))))</f>
        <v>How well do you think each of the following statements describes social media? Social media… </v>
      </c>
      <c r="F46" s="8" t="str">
        <f aca="false">IF(D46="PRE",I46,
IF(D46="SUP",I46,
IF(D46="Single-choice","N/A",
IF(D46="Single-choice w/ correct","N/A",
IF(D46="Series", RIGHT(I46, LEN(I46) - FIND("    ",I46)-3
))))))</f>
        <v>Distracts people from issues that are truly important</v>
      </c>
      <c r="G46" s="6" t="s">
        <v>56</v>
      </c>
      <c r="H46" s="10" t="s">
        <v>85</v>
      </c>
      <c r="I46" s="9" t="s">
        <v>86</v>
      </c>
      <c r="J46" s="10" t="n">
        <v>99</v>
      </c>
      <c r="K46" s="10" t="s">
        <v>64</v>
      </c>
    </row>
    <row r="47" customFormat="false" ht="15" hidden="false" customHeight="true" outlineLevel="0" collapsed="false">
      <c r="A47" s="1" t="s">
        <v>13</v>
      </c>
      <c r="B47" s="1" t="s">
        <v>54</v>
      </c>
      <c r="C47" s="1" t="str">
        <f aca="false">IF(D47="PRE","N/A",
IF(D47="SUP","N/A",
IF(D47="Single-choice",H47,
IF(D47="Single-choice w/ correct",H47,
IF(D47="Series", LEFT(H47,FIND("_",H47)-1) &amp; "_" &amp; MID(H47,FIND("_",H47,FIND("_",H47)+1)+1,999)
)))))</f>
        <v>SM9_W127</v>
      </c>
      <c r="D47" s="6" t="s">
        <v>78</v>
      </c>
      <c r="E47" s="7" t="str">
        <f aca="false">IF(D47="PRE","N/A", 
IF(D47="SUP",I47, 
IF(D47="Single-choice",I47, 
IF(D47="Single-choice w/ correct",I47, 
IF(D47="Series", LEFT(I47, FIND("    ",I47)
))))))</f>
        <v>How well do you think each of the following statements describes social media? Social media… </v>
      </c>
      <c r="F47" s="8" t="str">
        <f aca="false">IF(D47="PRE",I47,
IF(D47="SUP",I47,
IF(D47="Single-choice","N/A",
IF(D47="Single-choice w/ correct","N/A",
IF(D47="Series", RIGHT(I47, LEN(I47) - FIND("    ",I47)-3
))))))</f>
        <v>Highlights important issues that might not get a lot of attention otherwise</v>
      </c>
      <c r="G47" s="6" t="s">
        <v>56</v>
      </c>
      <c r="H47" s="6" t="s">
        <v>87</v>
      </c>
      <c r="I47" s="9" t="s">
        <v>88</v>
      </c>
      <c r="J47" s="6" t="n">
        <v>1</v>
      </c>
      <c r="K47" s="6" t="s">
        <v>81</v>
      </c>
    </row>
    <row r="48" customFormat="false" ht="34.2" hidden="false" customHeight="false" outlineLevel="0" collapsed="false">
      <c r="A48" s="1" t="s">
        <v>13</v>
      </c>
      <c r="B48" s="1" t="s">
        <v>54</v>
      </c>
      <c r="C48" s="1" t="str">
        <f aca="false">IF(D48="PRE","N/A",
IF(D48="SUP","N/A",
IF(D48="Single-choice",H48,
IF(D48="Single-choice w/ correct",H48,
IF(D48="Series", LEFT(H48,FIND("_",H48)-1) &amp; "_" &amp; MID(H48,FIND("_",H48,FIND("_",H48)+1)+1,999)
)))))</f>
        <v>SM9_W127</v>
      </c>
      <c r="D48" s="6" t="s">
        <v>78</v>
      </c>
      <c r="E48" s="7" t="str">
        <f aca="false">IF(D48="PRE","N/A", 
IF(D48="SUP",I48, 
IF(D48="Single-choice",I48, 
IF(D48="Single-choice w/ correct",I48, 
IF(D48="Series", LEFT(I48, FIND("    ",I48)
))))))</f>
        <v>How well do you think each of the following statements describes social media? Social media… </v>
      </c>
      <c r="F48" s="8" t="str">
        <f aca="false">IF(D48="PRE",I48,
IF(D48="SUP",I48,
IF(D48="Single-choice","N/A",
IF(D48="Single-choice w/ correct","N/A",
IF(D48="Series", RIGHT(I48, LEN(I48) - FIND("    ",I48)-3
))))))</f>
        <v>Highlights important issues that might not get a lot of attention otherwise</v>
      </c>
      <c r="G48" s="6" t="s">
        <v>56</v>
      </c>
      <c r="H48" s="10" t="s">
        <v>87</v>
      </c>
      <c r="I48" s="9" t="s">
        <v>88</v>
      </c>
      <c r="J48" s="10" t="n">
        <v>2</v>
      </c>
      <c r="K48" s="10" t="s">
        <v>82</v>
      </c>
    </row>
    <row r="49" customFormat="false" ht="34.2" hidden="false" customHeight="false" outlineLevel="0" collapsed="false">
      <c r="A49" s="1" t="s">
        <v>13</v>
      </c>
      <c r="B49" s="1" t="s">
        <v>54</v>
      </c>
      <c r="C49" s="1" t="str">
        <f aca="false">IF(D49="PRE","N/A",
IF(D49="SUP","N/A",
IF(D49="Single-choice",H49,
IF(D49="Single-choice w/ correct",H49,
IF(D49="Series", LEFT(H49,FIND("_",H49)-1) &amp; "_" &amp; MID(H49,FIND("_",H49,FIND("_",H49)+1)+1,999)
)))))</f>
        <v>SM9_W127</v>
      </c>
      <c r="D49" s="6" t="s">
        <v>78</v>
      </c>
      <c r="E49" s="7" t="str">
        <f aca="false">IF(D49="PRE","N/A", 
IF(D49="SUP",I49, 
IF(D49="Single-choice",I49, 
IF(D49="Single-choice w/ correct",I49, 
IF(D49="Series", LEFT(I49, FIND("    ",I49)
))))))</f>
        <v>How well do you think each of the following statements describes social media? Social media… </v>
      </c>
      <c r="F49" s="8" t="str">
        <f aca="false">IF(D49="PRE",I49,
IF(D49="SUP",I49,
IF(D49="Single-choice","N/A",
IF(D49="Single-choice w/ correct","N/A",
IF(D49="Series", RIGHT(I49, LEN(I49) - FIND("    ",I49)-3
))))))</f>
        <v>Highlights important issues that might not get a lot of attention otherwise</v>
      </c>
      <c r="G49" s="6" t="s">
        <v>56</v>
      </c>
      <c r="H49" s="10" t="s">
        <v>87</v>
      </c>
      <c r="I49" s="9" t="s">
        <v>88</v>
      </c>
      <c r="J49" s="10" t="n">
        <v>3</v>
      </c>
      <c r="K49" s="10" t="s">
        <v>83</v>
      </c>
    </row>
    <row r="50" customFormat="false" ht="34.2" hidden="false" customHeight="false" outlineLevel="0" collapsed="false">
      <c r="A50" s="1" t="s">
        <v>13</v>
      </c>
      <c r="B50" s="1" t="s">
        <v>54</v>
      </c>
      <c r="C50" s="1" t="str">
        <f aca="false">IF(D50="PRE","N/A",
IF(D50="SUP","N/A",
IF(D50="Single-choice",H50,
IF(D50="Single-choice w/ correct",H50,
IF(D50="Series", LEFT(H50,FIND("_",H50)-1) &amp; "_" &amp; MID(H50,FIND("_",H50,FIND("_",H50)+1)+1,999)
)))))</f>
        <v>SM9_W127</v>
      </c>
      <c r="D50" s="6" t="s">
        <v>78</v>
      </c>
      <c r="E50" s="7" t="str">
        <f aca="false">IF(D50="PRE","N/A", 
IF(D50="SUP",I50, 
IF(D50="Single-choice",I50, 
IF(D50="Single-choice w/ correct",I50, 
IF(D50="Series", LEFT(I50, FIND("    ",I50)
))))))</f>
        <v>How well do you think each of the following statements describes social media? Social media… </v>
      </c>
      <c r="F50" s="8" t="str">
        <f aca="false">IF(D50="PRE",I50,
IF(D50="SUP",I50,
IF(D50="Single-choice","N/A",
IF(D50="Single-choice w/ correct","N/A",
IF(D50="Series", RIGHT(I50, LEN(I50) - FIND("    ",I50)-3
))))))</f>
        <v>Highlights important issues that might not get a lot of attention otherwise</v>
      </c>
      <c r="G50" s="6" t="s">
        <v>56</v>
      </c>
      <c r="H50" s="10" t="s">
        <v>87</v>
      </c>
      <c r="I50" s="9" t="s">
        <v>88</v>
      </c>
      <c r="J50" s="10" t="n">
        <v>4</v>
      </c>
      <c r="K50" s="10" t="s">
        <v>84</v>
      </c>
    </row>
    <row r="51" customFormat="false" ht="34.2" hidden="false" customHeight="false" outlineLevel="0" collapsed="false">
      <c r="A51" s="1" t="s">
        <v>13</v>
      </c>
      <c r="B51" s="1" t="s">
        <v>54</v>
      </c>
      <c r="C51" s="1" t="str">
        <f aca="false">IF(D51="PRE","N/A",
IF(D51="SUP","N/A",
IF(D51="Single-choice",H51,
IF(D51="Single-choice w/ correct",H51,
IF(D51="Series", LEFT(H51,FIND("_",H51)-1) &amp; "_" &amp; MID(H51,FIND("_",H51,FIND("_",H51)+1)+1,999)
)))))</f>
        <v>SM9_W127</v>
      </c>
      <c r="D51" s="6" t="s">
        <v>78</v>
      </c>
      <c r="E51" s="7" t="str">
        <f aca="false">IF(D51="PRE","N/A", 
IF(D51="SUP",I51, 
IF(D51="Single-choice",I51, 
IF(D51="Single-choice w/ correct",I51, 
IF(D51="Series", LEFT(I51, FIND("    ",I51)
))))))</f>
        <v>How well do you think each of the following statements describes social media? Social media… </v>
      </c>
      <c r="F51" s="8" t="str">
        <f aca="false">IF(D51="PRE",I51,
IF(D51="SUP",I51,
IF(D51="Single-choice","N/A",
IF(D51="Single-choice w/ correct","N/A",
IF(D51="Series", RIGHT(I51, LEN(I51) - FIND("    ",I51)-3
))))))</f>
        <v>Highlights important issues that might not get a lot of attention otherwise</v>
      </c>
      <c r="G51" s="6" t="s">
        <v>56</v>
      </c>
      <c r="H51" s="10" t="s">
        <v>87</v>
      </c>
      <c r="I51" s="9" t="s">
        <v>88</v>
      </c>
      <c r="J51" s="10" t="n">
        <v>99</v>
      </c>
      <c r="K51" s="10" t="s">
        <v>64</v>
      </c>
    </row>
    <row r="52" customFormat="false" ht="15" hidden="false" customHeight="true" outlineLevel="0" collapsed="false">
      <c r="A52" s="1" t="s">
        <v>13</v>
      </c>
      <c r="B52" s="1" t="s">
        <v>54</v>
      </c>
      <c r="C52" s="1" t="str">
        <f aca="false">IF(D52="PRE","N/A",
IF(D52="SUP","N/A",
IF(D52="Single-choice",H52,
IF(D52="Single-choice w/ correct",H52,
IF(D52="Series", LEFT(H52,FIND("_",H52)-1) &amp; "_" &amp; MID(H52,FIND("_",H52,FIND("_",H52)+1)+1,999)
)))))</f>
        <v>SM9_W127</v>
      </c>
      <c r="D52" s="6" t="s">
        <v>78</v>
      </c>
      <c r="E52" s="7" t="str">
        <f aca="false">IF(D52="PRE","N/A", 
IF(D52="SUP",I52, 
IF(D52="Single-choice",I52, 
IF(D52="Single-choice w/ correct",I52, 
IF(D52="Series", LEFT(I52, FIND("    ",I52)
))))))</f>
        <v>How well do you think each of the following statements describes social media? Social media… </v>
      </c>
      <c r="F52" s="8" t="str">
        <f aca="false">IF(D52="PRE",I52,
IF(D52="SUP",I52,
IF(D52="Single-choice","N/A",
IF(D52="Single-choice w/ correct","N/A",
IF(D52="Series", RIGHT(I52, LEN(I52) - FIND("    ",I52)-3
))))))</f>
        <v>Makes it easier to hold powerful people accountable for their actions</v>
      </c>
      <c r="G52" s="6" t="s">
        <v>56</v>
      </c>
      <c r="H52" s="6" t="s">
        <v>89</v>
      </c>
      <c r="I52" s="9" t="s">
        <v>90</v>
      </c>
      <c r="J52" s="6" t="n">
        <v>1</v>
      </c>
      <c r="K52" s="6" t="s">
        <v>81</v>
      </c>
    </row>
    <row r="53" customFormat="false" ht="34.2" hidden="false" customHeight="false" outlineLevel="0" collapsed="false">
      <c r="A53" s="1" t="s">
        <v>13</v>
      </c>
      <c r="B53" s="1" t="s">
        <v>54</v>
      </c>
      <c r="C53" s="1" t="str">
        <f aca="false">IF(D53="PRE","N/A",
IF(D53="SUP","N/A",
IF(D53="Single-choice",H53,
IF(D53="Single-choice w/ correct",H53,
IF(D53="Series", LEFT(H53,FIND("_",H53)-1) &amp; "_" &amp; MID(H53,FIND("_",H53,FIND("_",H53)+1)+1,999)
)))))</f>
        <v>SM9_W127</v>
      </c>
      <c r="D53" s="6" t="s">
        <v>78</v>
      </c>
      <c r="E53" s="7" t="str">
        <f aca="false">IF(D53="PRE","N/A", 
IF(D53="SUP",I53, 
IF(D53="Single-choice",I53, 
IF(D53="Single-choice w/ correct",I53, 
IF(D53="Series", LEFT(I53, FIND("    ",I53)
))))))</f>
        <v>How well do you think each of the following statements describes social media? Social media… </v>
      </c>
      <c r="F53" s="8" t="str">
        <f aca="false">IF(D53="PRE",I53,
IF(D53="SUP",I53,
IF(D53="Single-choice","N/A",
IF(D53="Single-choice w/ correct","N/A",
IF(D53="Series", RIGHT(I53, LEN(I53) - FIND("    ",I53)-3
))))))</f>
        <v>Makes it easier to hold powerful people accountable for their actions</v>
      </c>
      <c r="G53" s="6" t="s">
        <v>56</v>
      </c>
      <c r="H53" s="10" t="s">
        <v>89</v>
      </c>
      <c r="I53" s="9" t="s">
        <v>90</v>
      </c>
      <c r="J53" s="10" t="n">
        <v>2</v>
      </c>
      <c r="K53" s="10" t="s">
        <v>82</v>
      </c>
    </row>
    <row r="54" customFormat="false" ht="34.2" hidden="false" customHeight="false" outlineLevel="0" collapsed="false">
      <c r="A54" s="1" t="s">
        <v>13</v>
      </c>
      <c r="B54" s="1" t="s">
        <v>54</v>
      </c>
      <c r="C54" s="1" t="str">
        <f aca="false">IF(D54="PRE","N/A",
IF(D54="SUP","N/A",
IF(D54="Single-choice",H54,
IF(D54="Single-choice w/ correct",H54,
IF(D54="Series", LEFT(H54,FIND("_",H54)-1) &amp; "_" &amp; MID(H54,FIND("_",H54,FIND("_",H54)+1)+1,999)
)))))</f>
        <v>SM9_W127</v>
      </c>
      <c r="D54" s="6" t="s">
        <v>78</v>
      </c>
      <c r="E54" s="7" t="str">
        <f aca="false">IF(D54="PRE","N/A", 
IF(D54="SUP",I54, 
IF(D54="Single-choice",I54, 
IF(D54="Single-choice w/ correct",I54, 
IF(D54="Series", LEFT(I54, FIND("    ",I54)
))))))</f>
        <v>How well do you think each of the following statements describes social media? Social media… </v>
      </c>
      <c r="F54" s="8" t="str">
        <f aca="false">IF(D54="PRE",I54,
IF(D54="SUP",I54,
IF(D54="Single-choice","N/A",
IF(D54="Single-choice w/ correct","N/A",
IF(D54="Series", RIGHT(I54, LEN(I54) - FIND("    ",I54)-3
))))))</f>
        <v>Makes it easier to hold powerful people accountable for their actions</v>
      </c>
      <c r="G54" s="6" t="s">
        <v>56</v>
      </c>
      <c r="H54" s="10" t="s">
        <v>89</v>
      </c>
      <c r="I54" s="9" t="s">
        <v>90</v>
      </c>
      <c r="J54" s="10" t="n">
        <v>3</v>
      </c>
      <c r="K54" s="10" t="s">
        <v>83</v>
      </c>
    </row>
    <row r="55" customFormat="false" ht="34.2" hidden="false" customHeight="false" outlineLevel="0" collapsed="false">
      <c r="A55" s="1" t="s">
        <v>13</v>
      </c>
      <c r="B55" s="1" t="s">
        <v>54</v>
      </c>
      <c r="C55" s="1" t="str">
        <f aca="false">IF(D55="PRE","N/A",
IF(D55="SUP","N/A",
IF(D55="Single-choice",H55,
IF(D55="Single-choice w/ correct",H55,
IF(D55="Series", LEFT(H55,FIND("_",H55)-1) &amp; "_" &amp; MID(H55,FIND("_",H55,FIND("_",H55)+1)+1,999)
)))))</f>
        <v>SM9_W127</v>
      </c>
      <c r="D55" s="6" t="s">
        <v>78</v>
      </c>
      <c r="E55" s="7" t="str">
        <f aca="false">IF(D55="PRE","N/A", 
IF(D55="SUP",I55, 
IF(D55="Single-choice",I55, 
IF(D55="Single-choice w/ correct",I55, 
IF(D55="Series", LEFT(I55, FIND("    ",I55)
))))))</f>
        <v>How well do you think each of the following statements describes social media? Social media… </v>
      </c>
      <c r="F55" s="8" t="str">
        <f aca="false">IF(D55="PRE",I55,
IF(D55="SUP",I55,
IF(D55="Single-choice","N/A",
IF(D55="Single-choice w/ correct","N/A",
IF(D55="Series", RIGHT(I55, LEN(I55) - FIND("    ",I55)-3
))))))</f>
        <v>Makes it easier to hold powerful people accountable for their actions</v>
      </c>
      <c r="G55" s="6" t="s">
        <v>56</v>
      </c>
      <c r="H55" s="10" t="s">
        <v>89</v>
      </c>
      <c r="I55" s="9" t="s">
        <v>90</v>
      </c>
      <c r="J55" s="10" t="n">
        <v>4</v>
      </c>
      <c r="K55" s="10" t="s">
        <v>84</v>
      </c>
    </row>
    <row r="56" customFormat="false" ht="34.2" hidden="false" customHeight="false" outlineLevel="0" collapsed="false">
      <c r="A56" s="1" t="s">
        <v>13</v>
      </c>
      <c r="B56" s="1" t="s">
        <v>54</v>
      </c>
      <c r="C56" s="1" t="str">
        <f aca="false">IF(D56="PRE","N/A",
IF(D56="SUP","N/A",
IF(D56="Single-choice",H56,
IF(D56="Single-choice w/ correct",H56,
IF(D56="Series", LEFT(H56,FIND("_",H56)-1) &amp; "_" &amp; MID(H56,FIND("_",H56,FIND("_",H56)+1)+1,999)
)))))</f>
        <v>SM9_W127</v>
      </c>
      <c r="D56" s="6" t="s">
        <v>78</v>
      </c>
      <c r="E56" s="7" t="str">
        <f aca="false">IF(D56="PRE","N/A", 
IF(D56="SUP",I56, 
IF(D56="Single-choice",I56, 
IF(D56="Single-choice w/ correct",I56, 
IF(D56="Series", LEFT(I56, FIND("    ",I56)
))))))</f>
        <v>How well do you think each of the following statements describes social media? Social media… </v>
      </c>
      <c r="F56" s="8" t="str">
        <f aca="false">IF(D56="PRE",I56,
IF(D56="SUP",I56,
IF(D56="Single-choice","N/A",
IF(D56="Single-choice w/ correct","N/A",
IF(D56="Series", RIGHT(I56, LEN(I56) - FIND("    ",I56)-3
))))))</f>
        <v>Makes it easier to hold powerful people accountable for their actions</v>
      </c>
      <c r="G56" s="6" t="s">
        <v>56</v>
      </c>
      <c r="H56" s="10" t="s">
        <v>89</v>
      </c>
      <c r="I56" s="9" t="s">
        <v>90</v>
      </c>
      <c r="J56" s="10" t="n">
        <v>99</v>
      </c>
      <c r="K56" s="10" t="s">
        <v>64</v>
      </c>
    </row>
    <row r="57" customFormat="false" ht="15" hidden="false" customHeight="true" outlineLevel="0" collapsed="false">
      <c r="A57" s="1" t="s">
        <v>13</v>
      </c>
      <c r="B57" s="1" t="s">
        <v>54</v>
      </c>
      <c r="C57" s="1" t="str">
        <f aca="false">IF(D57="PRE","N/A",
IF(D57="SUP","N/A",
IF(D57="Single-choice",H57,
IF(D57="Single-choice w/ correct",H57,
IF(D57="Series", LEFT(H57,FIND("_",H57)-1) &amp; "_" &amp; MID(H57,FIND("_",H57,FIND("_",H57)+1)+1,999)
)))))</f>
        <v>SM9_W127</v>
      </c>
      <c r="D57" s="6" t="s">
        <v>78</v>
      </c>
      <c r="E57" s="7" t="str">
        <f aca="false">IF(D57="PRE","N/A", 
IF(D57="SUP",I57, 
IF(D57="Single-choice",I57, 
IF(D57="Single-choice w/ correct",I57, 
IF(D57="Series", LEFT(I57, FIND("    ",I57)
))))))</f>
        <v>How well do you think each of the following statements describes social media? Social media… </v>
      </c>
      <c r="F57" s="8" t="str">
        <f aca="false">IF(D57="PRE",I57,
IF(D57="SUP",I57,
IF(D57="Single-choice","N/A",
IF(D57="Single-choice w/ correct","N/A",
IF(D57="Series", RIGHT(I57, LEN(I57) - FIND("    ",I57)-3
))))))</f>
        <v>Makes people think they are making a difference when they really aren’t</v>
      </c>
      <c r="G57" s="6" t="s">
        <v>56</v>
      </c>
      <c r="H57" s="6" t="s">
        <v>91</v>
      </c>
      <c r="I57" s="9" t="s">
        <v>92</v>
      </c>
      <c r="J57" s="6" t="n">
        <v>1</v>
      </c>
      <c r="K57" s="6" t="s">
        <v>81</v>
      </c>
    </row>
    <row r="58" customFormat="false" ht="34.2" hidden="false" customHeight="false" outlineLevel="0" collapsed="false">
      <c r="A58" s="1" t="s">
        <v>13</v>
      </c>
      <c r="B58" s="1" t="s">
        <v>54</v>
      </c>
      <c r="C58" s="1" t="str">
        <f aca="false">IF(D58="PRE","N/A",
IF(D58="SUP","N/A",
IF(D58="Single-choice",H58,
IF(D58="Single-choice w/ correct",H58,
IF(D58="Series", LEFT(H58,FIND("_",H58)-1) &amp; "_" &amp; MID(H58,FIND("_",H58,FIND("_",H58)+1)+1,999)
)))))</f>
        <v>SM9_W127</v>
      </c>
      <c r="D58" s="6" t="s">
        <v>78</v>
      </c>
      <c r="E58" s="7" t="str">
        <f aca="false">IF(D58="PRE","N/A", 
IF(D58="SUP",I58, 
IF(D58="Single-choice",I58, 
IF(D58="Single-choice w/ correct",I58, 
IF(D58="Series", LEFT(I58, FIND("    ",I58)
))))))</f>
        <v>How well do you think each of the following statements describes social media? Social media… </v>
      </c>
      <c r="F58" s="8" t="str">
        <f aca="false">IF(D58="PRE",I58,
IF(D58="SUP",I58,
IF(D58="Single-choice","N/A",
IF(D58="Single-choice w/ correct","N/A",
IF(D58="Series", RIGHT(I58, LEN(I58) - FIND("    ",I58)-3
))))))</f>
        <v>Makes people think they are making a difference when they really aren’t</v>
      </c>
      <c r="G58" s="6" t="s">
        <v>56</v>
      </c>
      <c r="H58" s="10" t="s">
        <v>91</v>
      </c>
      <c r="I58" s="9" t="s">
        <v>92</v>
      </c>
      <c r="J58" s="10" t="n">
        <v>2</v>
      </c>
      <c r="K58" s="10" t="s">
        <v>82</v>
      </c>
    </row>
    <row r="59" customFormat="false" ht="34.2" hidden="false" customHeight="false" outlineLevel="0" collapsed="false">
      <c r="A59" s="1" t="s">
        <v>13</v>
      </c>
      <c r="B59" s="1" t="s">
        <v>54</v>
      </c>
      <c r="C59" s="1" t="str">
        <f aca="false">IF(D59="PRE","N/A",
IF(D59="SUP","N/A",
IF(D59="Single-choice",H59,
IF(D59="Single-choice w/ correct",H59,
IF(D59="Series", LEFT(H59,FIND("_",H59)-1) &amp; "_" &amp; MID(H59,FIND("_",H59,FIND("_",H59)+1)+1,999)
)))))</f>
        <v>SM9_W127</v>
      </c>
      <c r="D59" s="6" t="s">
        <v>78</v>
      </c>
      <c r="E59" s="7" t="str">
        <f aca="false">IF(D59="PRE","N/A", 
IF(D59="SUP",I59, 
IF(D59="Single-choice",I59, 
IF(D59="Single-choice w/ correct",I59, 
IF(D59="Series", LEFT(I59, FIND("    ",I59)
))))))</f>
        <v>How well do you think each of the following statements describes social media? Social media… </v>
      </c>
      <c r="F59" s="8" t="str">
        <f aca="false">IF(D59="PRE",I59,
IF(D59="SUP",I59,
IF(D59="Single-choice","N/A",
IF(D59="Single-choice w/ correct","N/A",
IF(D59="Series", RIGHT(I59, LEN(I59) - FIND("    ",I59)-3
))))))</f>
        <v>Makes people think they are making a difference when they really aren’t</v>
      </c>
      <c r="G59" s="6" t="s">
        <v>56</v>
      </c>
      <c r="H59" s="10" t="s">
        <v>91</v>
      </c>
      <c r="I59" s="9" t="s">
        <v>92</v>
      </c>
      <c r="J59" s="10" t="n">
        <v>3</v>
      </c>
      <c r="K59" s="10" t="s">
        <v>83</v>
      </c>
    </row>
    <row r="60" customFormat="false" ht="34.2" hidden="false" customHeight="false" outlineLevel="0" collapsed="false">
      <c r="A60" s="1" t="s">
        <v>13</v>
      </c>
      <c r="B60" s="1" t="s">
        <v>54</v>
      </c>
      <c r="C60" s="1" t="str">
        <f aca="false">IF(D60="PRE","N/A",
IF(D60="SUP","N/A",
IF(D60="Single-choice",H60,
IF(D60="Single-choice w/ correct",H60,
IF(D60="Series", LEFT(H60,FIND("_",H60)-1) &amp; "_" &amp; MID(H60,FIND("_",H60,FIND("_",H60)+1)+1,999)
)))))</f>
        <v>SM9_W127</v>
      </c>
      <c r="D60" s="6" t="s">
        <v>78</v>
      </c>
      <c r="E60" s="7" t="str">
        <f aca="false">IF(D60="PRE","N/A", 
IF(D60="SUP",I60, 
IF(D60="Single-choice",I60, 
IF(D60="Single-choice w/ correct",I60, 
IF(D60="Series", LEFT(I60, FIND("    ",I60)
))))))</f>
        <v>How well do you think each of the following statements describes social media? Social media… </v>
      </c>
      <c r="F60" s="8" t="str">
        <f aca="false">IF(D60="PRE",I60,
IF(D60="SUP",I60,
IF(D60="Single-choice","N/A",
IF(D60="Single-choice w/ correct","N/A",
IF(D60="Series", RIGHT(I60, LEN(I60) - FIND("    ",I60)-3
))))))</f>
        <v>Makes people think they are making a difference when they really aren’t</v>
      </c>
      <c r="G60" s="6" t="s">
        <v>56</v>
      </c>
      <c r="H60" s="10" t="s">
        <v>91</v>
      </c>
      <c r="I60" s="9" t="s">
        <v>92</v>
      </c>
      <c r="J60" s="10" t="n">
        <v>4</v>
      </c>
      <c r="K60" s="10" t="s">
        <v>84</v>
      </c>
    </row>
    <row r="61" customFormat="false" ht="34.2" hidden="false" customHeight="false" outlineLevel="0" collapsed="false">
      <c r="A61" s="1" t="s">
        <v>13</v>
      </c>
      <c r="B61" s="1" t="s">
        <v>54</v>
      </c>
      <c r="C61" s="1" t="str">
        <f aca="false">IF(D61="PRE","N/A",
IF(D61="SUP","N/A",
IF(D61="Single-choice",H61,
IF(D61="Single-choice w/ correct",H61,
IF(D61="Series", LEFT(H61,FIND("_",H61)-1) &amp; "_" &amp; MID(H61,FIND("_",H61,FIND("_",H61)+1)+1,999)
)))))</f>
        <v>SM9_W127</v>
      </c>
      <c r="D61" s="6" t="s">
        <v>78</v>
      </c>
      <c r="E61" s="7" t="str">
        <f aca="false">IF(D61="PRE","N/A", 
IF(D61="SUP",I61, 
IF(D61="Single-choice",I61, 
IF(D61="Single-choice w/ correct",I61, 
IF(D61="Series", LEFT(I61, FIND("    ",I61)
))))))</f>
        <v>How well do you think each of the following statements describes social media? Social media… </v>
      </c>
      <c r="F61" s="8" t="str">
        <f aca="false">IF(D61="PRE",I61,
IF(D61="SUP",I61,
IF(D61="Single-choice","N/A",
IF(D61="Single-choice w/ correct","N/A",
IF(D61="Series", RIGHT(I61, LEN(I61) - FIND("    ",I61)-3
))))))</f>
        <v>Makes people think they are making a difference when they really aren’t</v>
      </c>
      <c r="G61" s="6" t="s">
        <v>56</v>
      </c>
      <c r="H61" s="10" t="s">
        <v>91</v>
      </c>
      <c r="I61" s="9" t="s">
        <v>92</v>
      </c>
      <c r="J61" s="10" t="n">
        <v>99</v>
      </c>
      <c r="K61" s="10" t="s">
        <v>64</v>
      </c>
    </row>
    <row r="62" customFormat="false" ht="15" hidden="false" customHeight="true" outlineLevel="0" collapsed="false">
      <c r="A62" s="1" t="s">
        <v>13</v>
      </c>
      <c r="B62" s="1" t="s">
        <v>54</v>
      </c>
      <c r="C62" s="1" t="str">
        <f aca="false">IF(D62="PRE","N/A",
IF(D62="SUP","N/A",
IF(D62="Single-choice",H62,
IF(D62="Single-choice w/ correct",H62,
IF(D62="Series", LEFT(H62,FIND("_",H62)-1) &amp; "_" &amp; MID(H62,FIND("_",H62,FIND("_",H62)+1)+1,999)
)))))</f>
        <v>SM10_W127</v>
      </c>
      <c r="D62" s="6" t="s">
        <v>78</v>
      </c>
      <c r="E62" s="7" t="str">
        <f aca="false">IF(D62="PRE","N/A", 
IF(D62="SUP",I62, 
IF(D62="Single-choice",I62, 
IF(D62="Single-choice w/ correct",I62, 
IF(D62="Series", LEFT(I62, FIND("    ",I62)
))))))</f>
        <v>Have you done any of the following activities on social media in the past year? </v>
      </c>
      <c r="F62" s="8" t="str">
        <f aca="false">IF(D62="PRE",I62,
IF(D62="SUP",I62,
IF(D62="Single-choice","N/A",
IF(D62="Single-choice w/ correct","N/A",
IF(D62="Series", RIGHT(I62, LEN(I62) - FIND("    ",I62)-3
))))))</f>
        <v>Changed your profile picture to show your support for a cause</v>
      </c>
      <c r="G62" s="6" t="s">
        <v>93</v>
      </c>
      <c r="H62" s="6" t="s">
        <v>94</v>
      </c>
      <c r="I62" s="9" t="s">
        <v>95</v>
      </c>
      <c r="J62" s="6" t="n">
        <v>1</v>
      </c>
      <c r="K62" s="6" t="s">
        <v>96</v>
      </c>
    </row>
    <row r="63" customFormat="false" ht="23.3" hidden="false" customHeight="false" outlineLevel="0" collapsed="false">
      <c r="A63" s="1" t="s">
        <v>13</v>
      </c>
      <c r="B63" s="1" t="s">
        <v>54</v>
      </c>
      <c r="C63" s="1" t="str">
        <f aca="false">IF(D63="PRE","N/A",
IF(D63="SUP","N/A",
IF(D63="Single-choice",H63,
IF(D63="Single-choice w/ correct",H63,
IF(D63="Series", LEFT(H63,FIND("_",H63)-1) &amp; "_" &amp; MID(H63,FIND("_",H63,FIND("_",H63)+1)+1,999)
)))))</f>
        <v>SM10_W127</v>
      </c>
      <c r="D63" s="6" t="s">
        <v>78</v>
      </c>
      <c r="E63" s="7" t="str">
        <f aca="false">IF(D63="PRE","N/A", 
IF(D63="SUP",I63, 
IF(D63="Single-choice",I63, 
IF(D63="Single-choice w/ correct",I63, 
IF(D63="Series", LEFT(I63, FIND("    ",I63)
))))))</f>
        <v>Have you done any of the following activities on social media in the past year? </v>
      </c>
      <c r="F63" s="8" t="str">
        <f aca="false">IF(D63="PRE",I63,
IF(D63="SUP",I63,
IF(D63="Single-choice","N/A",
IF(D63="Single-choice w/ correct","N/A",
IF(D63="Series", RIGHT(I63, LEN(I63) - FIND("    ",I63)-3
))))))</f>
        <v>Changed your profile picture to show your support for a cause</v>
      </c>
      <c r="G63" s="6" t="s">
        <v>93</v>
      </c>
      <c r="H63" s="10" t="s">
        <v>94</v>
      </c>
      <c r="I63" s="9" t="s">
        <v>95</v>
      </c>
      <c r="J63" s="10" t="n">
        <v>2</v>
      </c>
      <c r="K63" s="10" t="s">
        <v>97</v>
      </c>
    </row>
    <row r="64" customFormat="false" ht="23.3" hidden="false" customHeight="false" outlineLevel="0" collapsed="false">
      <c r="A64" s="1" t="s">
        <v>13</v>
      </c>
      <c r="B64" s="1" t="s">
        <v>54</v>
      </c>
      <c r="C64" s="1" t="str">
        <f aca="false">IF(D64="PRE","N/A",
IF(D64="SUP","N/A",
IF(D64="Single-choice",H64,
IF(D64="Single-choice w/ correct",H64,
IF(D64="Series", LEFT(H64,FIND("_",H64)-1) &amp; "_" &amp; MID(H64,FIND("_",H64,FIND("_",H64)+1)+1,999)
)))))</f>
        <v>SM10_W127</v>
      </c>
      <c r="D64" s="6" t="s">
        <v>78</v>
      </c>
      <c r="E64" s="7" t="str">
        <f aca="false">IF(D64="PRE","N/A", 
IF(D64="SUP",I64, 
IF(D64="Single-choice",I64, 
IF(D64="Single-choice w/ correct",I64, 
IF(D64="Series", LEFT(I64, FIND("    ",I64)
))))))</f>
        <v>Have you done any of the following activities on social media in the past year? </v>
      </c>
      <c r="F64" s="8" t="str">
        <f aca="false">IF(D64="PRE",I64,
IF(D64="SUP",I64,
IF(D64="Single-choice","N/A",
IF(D64="Single-choice w/ correct","N/A",
IF(D64="Series", RIGHT(I64, LEN(I64) - FIND("    ",I64)-3
))))))</f>
        <v>Changed your profile picture to show your support for a cause</v>
      </c>
      <c r="G64" s="6" t="s">
        <v>93</v>
      </c>
      <c r="H64" s="10" t="s">
        <v>94</v>
      </c>
      <c r="I64" s="9" t="s">
        <v>95</v>
      </c>
      <c r="J64" s="10" t="n">
        <v>99</v>
      </c>
      <c r="K64" s="10" t="s">
        <v>64</v>
      </c>
    </row>
    <row r="65" customFormat="false" ht="15" hidden="false" customHeight="true" outlineLevel="0" collapsed="false">
      <c r="A65" s="1" t="s">
        <v>13</v>
      </c>
      <c r="B65" s="1" t="s">
        <v>54</v>
      </c>
      <c r="C65" s="1" t="str">
        <f aca="false">IF(D65="PRE","N/A",
IF(D65="SUP","N/A",
IF(D65="Single-choice",H65,
IF(D65="Single-choice w/ correct",H65,
IF(D65="Series", LEFT(H65,FIND("_",H65)-1) &amp; "_" &amp; MID(H65,FIND("_",H65,FIND("_",H65)+1)+1,999)
)))))</f>
        <v>SM10_W127</v>
      </c>
      <c r="D65" s="6" t="s">
        <v>78</v>
      </c>
      <c r="E65" s="7" t="str">
        <f aca="false">IF(D65="PRE","N/A", 
IF(D65="SUP",I65, 
IF(D65="Single-choice",I65, 
IF(D65="Single-choice w/ correct",I65, 
IF(D65="Series", LEFT(I65, FIND("    ",I65)
))))))</f>
        <v>Have you done any of the following activities on social media in the past year? </v>
      </c>
      <c r="F65" s="8" t="str">
        <f aca="false">IF(D65="PRE",I65,
IF(D65="SUP",I65,
IF(D65="Single-choice","N/A",
IF(D65="Single-choice w/ correct","N/A",
IF(D65="Series", RIGHT(I65, LEN(I65) - FIND("    ",I65)-3
))))))</f>
        <v>Used hashtags related to a political or social issue</v>
      </c>
      <c r="G65" s="6" t="s">
        <v>93</v>
      </c>
      <c r="H65" s="6" t="s">
        <v>98</v>
      </c>
      <c r="I65" s="9" t="s">
        <v>99</v>
      </c>
      <c r="J65" s="6" t="n">
        <v>1</v>
      </c>
      <c r="K65" s="6" t="s">
        <v>96</v>
      </c>
    </row>
    <row r="66" customFormat="false" ht="23.3" hidden="false" customHeight="false" outlineLevel="0" collapsed="false">
      <c r="A66" s="1" t="s">
        <v>13</v>
      </c>
      <c r="B66" s="1" t="s">
        <v>54</v>
      </c>
      <c r="C66" s="1" t="str">
        <f aca="false">IF(D66="PRE","N/A",
IF(D66="SUP","N/A",
IF(D66="Single-choice",H66,
IF(D66="Single-choice w/ correct",H66,
IF(D66="Series", LEFT(H66,FIND("_",H66)-1) &amp; "_" &amp; MID(H66,FIND("_",H66,FIND("_",H66)+1)+1,999)
)))))</f>
        <v>SM10_W127</v>
      </c>
      <c r="D66" s="6" t="s">
        <v>78</v>
      </c>
      <c r="E66" s="7" t="str">
        <f aca="false">IF(D66="PRE","N/A", 
IF(D66="SUP",I66, 
IF(D66="Single-choice",I66, 
IF(D66="Single-choice w/ correct",I66, 
IF(D66="Series", LEFT(I66, FIND("    ",I66)
))))))</f>
        <v>Have you done any of the following activities on social media in the past year? </v>
      </c>
      <c r="F66" s="8" t="str">
        <f aca="false">IF(D66="PRE",I66,
IF(D66="SUP",I66,
IF(D66="Single-choice","N/A",
IF(D66="Single-choice w/ correct","N/A",
IF(D66="Series", RIGHT(I66, LEN(I66) - FIND("    ",I66)-3
))))))</f>
        <v>Used hashtags related to a political or social issue</v>
      </c>
      <c r="G66" s="6" t="s">
        <v>93</v>
      </c>
      <c r="H66" s="10" t="s">
        <v>98</v>
      </c>
      <c r="I66" s="9" t="s">
        <v>99</v>
      </c>
      <c r="J66" s="10" t="n">
        <v>2</v>
      </c>
      <c r="K66" s="10" t="s">
        <v>97</v>
      </c>
    </row>
    <row r="67" customFormat="false" ht="23.3" hidden="false" customHeight="false" outlineLevel="0" collapsed="false">
      <c r="A67" s="1" t="s">
        <v>13</v>
      </c>
      <c r="B67" s="1" t="s">
        <v>54</v>
      </c>
      <c r="C67" s="1" t="str">
        <f aca="false">IF(D67="PRE","N/A",
IF(D67="SUP","N/A",
IF(D67="Single-choice",H67,
IF(D67="Single-choice w/ correct",H67,
IF(D67="Series", LEFT(H67,FIND("_",H67)-1) &amp; "_" &amp; MID(H67,FIND("_",H67,FIND("_",H67)+1)+1,999)
)))))</f>
        <v>SM10_W127</v>
      </c>
      <c r="D67" s="6" t="s">
        <v>78</v>
      </c>
      <c r="E67" s="7" t="str">
        <f aca="false">IF(D67="PRE","N/A", 
IF(D67="SUP",I67, 
IF(D67="Single-choice",I67, 
IF(D67="Single-choice w/ correct",I67, 
IF(D67="Series", LEFT(I67, FIND("    ",I67)
))))))</f>
        <v>Have you done any of the following activities on social media in the past year? </v>
      </c>
      <c r="F67" s="8" t="str">
        <f aca="false">IF(D67="PRE",I67,
IF(D67="SUP",I67,
IF(D67="Single-choice","N/A",
IF(D67="Single-choice w/ correct","N/A",
IF(D67="Series", RIGHT(I67, LEN(I67) - FIND("    ",I67)-3
))))))</f>
        <v>Used hashtags related to a political or social issue</v>
      </c>
      <c r="G67" s="6" t="s">
        <v>93</v>
      </c>
      <c r="H67" s="10" t="s">
        <v>98</v>
      </c>
      <c r="I67" s="9" t="s">
        <v>99</v>
      </c>
      <c r="J67" s="10" t="n">
        <v>99</v>
      </c>
      <c r="K67" s="10" t="s">
        <v>64</v>
      </c>
    </row>
    <row r="68" customFormat="false" ht="15" hidden="false" customHeight="true" outlineLevel="0" collapsed="false">
      <c r="A68" s="1" t="s">
        <v>13</v>
      </c>
      <c r="B68" s="1" t="s">
        <v>54</v>
      </c>
      <c r="C68" s="1" t="str">
        <f aca="false">IF(D68="PRE","N/A",
IF(D68="SUP","N/A",
IF(D68="Single-choice",H68,
IF(D68="Single-choice w/ correct",H68,
IF(D68="Series", LEFT(H68,FIND("_",H68)-1) &amp; "_" &amp; MID(H68,FIND("_",H68,FIND("_",H68)+1)+1,999)
)))))</f>
        <v>SM10_W127</v>
      </c>
      <c r="D68" s="6" t="s">
        <v>78</v>
      </c>
      <c r="E68" s="7" t="str">
        <f aca="false">IF(D68="PRE","N/A", 
IF(D68="SUP",I68, 
IF(D68="Single-choice",I68, 
IF(D68="Single-choice w/ correct",I68, 
IF(D68="Series", LEFT(I68, FIND("    ",I68)
))))))</f>
        <v>Have you done any of the following activities on social media in the past year? </v>
      </c>
      <c r="F68" s="8" t="str">
        <f aca="false">IF(D68="PRE",I68,
IF(D68="SUP",I68,
IF(D68="Single-choice","N/A",
IF(D68="Single-choice w/ correct","N/A",
IF(D68="Series", RIGHT(I68, LEN(I68) - FIND("    ",I68)-3
))))))</f>
        <v>Taken part in a group that shares an interest in an issue or cause</v>
      </c>
      <c r="G68" s="6" t="s">
        <v>93</v>
      </c>
      <c r="H68" s="6" t="s">
        <v>100</v>
      </c>
      <c r="I68" s="9" t="s">
        <v>101</v>
      </c>
      <c r="J68" s="6" t="n">
        <v>1</v>
      </c>
      <c r="K68" s="6" t="s">
        <v>96</v>
      </c>
    </row>
    <row r="69" customFormat="false" ht="23.3" hidden="false" customHeight="false" outlineLevel="0" collapsed="false">
      <c r="A69" s="1" t="s">
        <v>13</v>
      </c>
      <c r="B69" s="1" t="s">
        <v>54</v>
      </c>
      <c r="C69" s="1" t="str">
        <f aca="false">IF(D69="PRE","N/A",
IF(D69="SUP","N/A",
IF(D69="Single-choice",H69,
IF(D69="Single-choice w/ correct",H69,
IF(D69="Series", LEFT(H69,FIND("_",H69)-1) &amp; "_" &amp; MID(H69,FIND("_",H69,FIND("_",H69)+1)+1,999)
)))))</f>
        <v>SM10_W127</v>
      </c>
      <c r="D69" s="6" t="s">
        <v>78</v>
      </c>
      <c r="E69" s="7" t="str">
        <f aca="false">IF(D69="PRE","N/A", 
IF(D69="SUP",I69, 
IF(D69="Single-choice",I69, 
IF(D69="Single-choice w/ correct",I69, 
IF(D69="Series", LEFT(I69, FIND("    ",I69)
))))))</f>
        <v>Have you done any of the following activities on social media in the past year? </v>
      </c>
      <c r="F69" s="8" t="str">
        <f aca="false">IF(D69="PRE",I69,
IF(D69="SUP",I69,
IF(D69="Single-choice","N/A",
IF(D69="Single-choice w/ correct","N/A",
IF(D69="Series", RIGHT(I69, LEN(I69) - FIND("    ",I69)-3
))))))</f>
        <v>Taken part in a group that shares an interest in an issue or cause</v>
      </c>
      <c r="G69" s="6" t="s">
        <v>93</v>
      </c>
      <c r="H69" s="10" t="s">
        <v>100</v>
      </c>
      <c r="I69" s="9" t="s">
        <v>101</v>
      </c>
      <c r="J69" s="10" t="n">
        <v>2</v>
      </c>
      <c r="K69" s="10" t="s">
        <v>97</v>
      </c>
    </row>
    <row r="70" customFormat="false" ht="23.3" hidden="false" customHeight="false" outlineLevel="0" collapsed="false">
      <c r="A70" s="1" t="s">
        <v>13</v>
      </c>
      <c r="B70" s="1" t="s">
        <v>54</v>
      </c>
      <c r="C70" s="1" t="str">
        <f aca="false">IF(D70="PRE","N/A",
IF(D70="SUP","N/A",
IF(D70="Single-choice",H70,
IF(D70="Single-choice w/ correct",H70,
IF(D70="Series", LEFT(H70,FIND("_",H70)-1) &amp; "_" &amp; MID(H70,FIND("_",H70,FIND("_",H70)+1)+1,999)
)))))</f>
        <v>SM10_W127</v>
      </c>
      <c r="D70" s="6" t="s">
        <v>78</v>
      </c>
      <c r="E70" s="7" t="str">
        <f aca="false">IF(D70="PRE","N/A", 
IF(D70="SUP",I70, 
IF(D70="Single-choice",I70, 
IF(D70="Single-choice w/ correct",I70, 
IF(D70="Series", LEFT(I70, FIND("    ",I70)
))))))</f>
        <v>Have you done any of the following activities on social media in the past year? </v>
      </c>
      <c r="F70" s="8" t="str">
        <f aca="false">IF(D70="PRE",I70,
IF(D70="SUP",I70,
IF(D70="Single-choice","N/A",
IF(D70="Single-choice w/ correct","N/A",
IF(D70="Series", RIGHT(I70, LEN(I70) - FIND("    ",I70)-3
))))))</f>
        <v>Taken part in a group that shares an interest in an issue or cause</v>
      </c>
      <c r="G70" s="6" t="s">
        <v>93</v>
      </c>
      <c r="H70" s="10" t="s">
        <v>100</v>
      </c>
      <c r="I70" s="9" t="s">
        <v>101</v>
      </c>
      <c r="J70" s="10" t="n">
        <v>99</v>
      </c>
      <c r="K70" s="10" t="s">
        <v>64</v>
      </c>
    </row>
    <row r="71" customFormat="false" ht="15" hidden="false" customHeight="true" outlineLevel="0" collapsed="false">
      <c r="A71" s="1" t="s">
        <v>13</v>
      </c>
      <c r="B71" s="1" t="s">
        <v>54</v>
      </c>
      <c r="C71" s="1" t="str">
        <f aca="false">IF(D71="PRE","N/A",
IF(D71="SUP","N/A",
IF(D71="Single-choice",H71,
IF(D71="Single-choice w/ correct",H71,
IF(D71="Series", LEFT(H71,FIND("_",H71)-1) &amp; "_" &amp; MID(H71,FIND("_",H71,FIND("_",H71)+1)+1,999)
)))))</f>
        <v>SM10_W127</v>
      </c>
      <c r="D71" s="6" t="s">
        <v>78</v>
      </c>
      <c r="E71" s="7" t="str">
        <f aca="false">IF(D71="PRE","N/A", 
IF(D71="SUP",I71, 
IF(D71="Single-choice",I71, 
IF(D71="Single-choice w/ correct",I71, 
IF(D71="Series", LEFT(I71, FIND("    ",I71)
))))))</f>
        <v>Have you done any of the following activities on social media in the past year? </v>
      </c>
      <c r="F71" s="8" t="str">
        <f aca="false">IF(D71="PRE",I71,
IF(D71="SUP",I71,
IF(D71="Single-choice","N/A",
IF(D71="Single-choice w/ correct","N/A",
IF(D71="Series", RIGHT(I71, LEN(I71) - FIND("    ",I71)-3
))))))</f>
        <v>Encouraged others to take action on issues that are important to you</v>
      </c>
      <c r="G71" s="6" t="s">
        <v>93</v>
      </c>
      <c r="H71" s="6" t="s">
        <v>102</v>
      </c>
      <c r="I71" s="9" t="s">
        <v>103</v>
      </c>
      <c r="J71" s="6" t="n">
        <v>1</v>
      </c>
      <c r="K71" s="6" t="s">
        <v>96</v>
      </c>
    </row>
    <row r="72" customFormat="false" ht="34.2" hidden="false" customHeight="false" outlineLevel="0" collapsed="false">
      <c r="A72" s="1" t="s">
        <v>13</v>
      </c>
      <c r="B72" s="1" t="s">
        <v>54</v>
      </c>
      <c r="C72" s="1" t="str">
        <f aca="false">IF(D72="PRE","N/A",
IF(D72="SUP","N/A",
IF(D72="Single-choice",H72,
IF(D72="Single-choice w/ correct",H72,
IF(D72="Series", LEFT(H72,FIND("_",H72)-1) &amp; "_" &amp; MID(H72,FIND("_",H72,FIND("_",H72)+1)+1,999)
)))))</f>
        <v>SM10_W127</v>
      </c>
      <c r="D72" s="6" t="s">
        <v>78</v>
      </c>
      <c r="E72" s="7" t="str">
        <f aca="false">IF(D72="PRE","N/A", 
IF(D72="SUP",I72, 
IF(D72="Single-choice",I72, 
IF(D72="Single-choice w/ correct",I72, 
IF(D72="Series", LEFT(I72, FIND("    ",I72)
))))))</f>
        <v>Have you done any of the following activities on social media in the past year? </v>
      </c>
      <c r="F72" s="8" t="str">
        <f aca="false">IF(D72="PRE",I72,
IF(D72="SUP",I72,
IF(D72="Single-choice","N/A",
IF(D72="Single-choice w/ correct","N/A",
IF(D72="Series", RIGHT(I72, LEN(I72) - FIND("    ",I72)-3
))))))</f>
        <v>Encouraged others to take action on issues that are important to you</v>
      </c>
      <c r="G72" s="6" t="s">
        <v>93</v>
      </c>
      <c r="H72" s="10" t="s">
        <v>102</v>
      </c>
      <c r="I72" s="9" t="s">
        <v>103</v>
      </c>
      <c r="J72" s="10" t="n">
        <v>2</v>
      </c>
      <c r="K72" s="10" t="s">
        <v>97</v>
      </c>
    </row>
    <row r="73" customFormat="false" ht="34.2" hidden="false" customHeight="false" outlineLevel="0" collapsed="false">
      <c r="A73" s="1" t="s">
        <v>13</v>
      </c>
      <c r="B73" s="1" t="s">
        <v>54</v>
      </c>
      <c r="C73" s="1" t="str">
        <f aca="false">IF(D73="PRE","N/A",
IF(D73="SUP","N/A",
IF(D73="Single-choice",H73,
IF(D73="Single-choice w/ correct",H73,
IF(D73="Series", LEFT(H73,FIND("_",H73)-1) &amp; "_" &amp; MID(H73,FIND("_",H73,FIND("_",H73)+1)+1,999)
)))))</f>
        <v>SM10_W127</v>
      </c>
      <c r="D73" s="6" t="s">
        <v>78</v>
      </c>
      <c r="E73" s="7" t="str">
        <f aca="false">IF(D73="PRE","N/A", 
IF(D73="SUP",I73, 
IF(D73="Single-choice",I73, 
IF(D73="Single-choice w/ correct",I73, 
IF(D73="Series", LEFT(I73, FIND("    ",I73)
))))))</f>
        <v>Have you done any of the following activities on social media in the past year? </v>
      </c>
      <c r="F73" s="8" t="str">
        <f aca="false">IF(D73="PRE",I73,
IF(D73="SUP",I73,
IF(D73="Single-choice","N/A",
IF(D73="Single-choice w/ correct","N/A",
IF(D73="Series", RIGHT(I73, LEN(I73) - FIND("    ",I73)-3
))))))</f>
        <v>Encouraged others to take action on issues that are important to you</v>
      </c>
      <c r="G73" s="6" t="s">
        <v>93</v>
      </c>
      <c r="H73" s="10" t="s">
        <v>102</v>
      </c>
      <c r="I73" s="9" t="s">
        <v>103</v>
      </c>
      <c r="J73" s="10" t="n">
        <v>99</v>
      </c>
      <c r="K73" s="10" t="s">
        <v>64</v>
      </c>
    </row>
    <row r="74" customFormat="false" ht="15" hidden="false" customHeight="true" outlineLevel="0" collapsed="false">
      <c r="A74" s="1" t="s">
        <v>13</v>
      </c>
      <c r="B74" s="1" t="s">
        <v>54</v>
      </c>
      <c r="C74" s="1" t="str">
        <f aca="false">IF(D74="PRE","N/A",
IF(D74="SUP","N/A",
IF(D74="Single-choice",H74,
IF(D74="Single-choice w/ correct",H74,
IF(D74="Series", LEFT(H74,FIND("_",H74)-1) &amp; "_" &amp; MID(H74,FIND("_",H74,FIND("_",H74)+1)+1,999)
)))))</f>
        <v>SM10_W127</v>
      </c>
      <c r="D74" s="6" t="s">
        <v>78</v>
      </c>
      <c r="E74" s="7" t="str">
        <f aca="false">IF(D74="PRE","N/A", 
IF(D74="SUP",I74, 
IF(D74="Single-choice",I74, 
IF(D74="Single-choice w/ correct",I74, 
IF(D74="Series", LEFT(I74, FIND("    ",I74)
))))))</f>
        <v>Have you done any of the following activities on social media in the past year? </v>
      </c>
      <c r="F74" s="8" t="str">
        <f aca="false">IF(D74="PRE",I74,
IF(D74="SUP",I74,
IF(D74="Single-choice","N/A",
IF(D74="Single-choice w/ correct","N/A",
IF(D74="Series", RIGHT(I74, LEN(I74) - FIND("    ",I74)-3
))))))</f>
        <v>Looked for information about rallies or protests happening in your area</v>
      </c>
      <c r="G74" s="6" t="s">
        <v>93</v>
      </c>
      <c r="H74" s="6" t="s">
        <v>104</v>
      </c>
      <c r="I74" s="9" t="s">
        <v>105</v>
      </c>
      <c r="J74" s="6" t="n">
        <v>1</v>
      </c>
      <c r="K74" s="6" t="s">
        <v>96</v>
      </c>
    </row>
    <row r="75" customFormat="false" ht="34.2" hidden="false" customHeight="false" outlineLevel="0" collapsed="false">
      <c r="A75" s="1" t="s">
        <v>13</v>
      </c>
      <c r="B75" s="1" t="s">
        <v>54</v>
      </c>
      <c r="C75" s="1" t="str">
        <f aca="false">IF(D75="PRE","N/A",
IF(D75="SUP","N/A",
IF(D75="Single-choice",H75,
IF(D75="Single-choice w/ correct",H75,
IF(D75="Series", LEFT(H75,FIND("_",H75)-1) &amp; "_" &amp; MID(H75,FIND("_",H75,FIND("_",H75)+1)+1,999)
)))))</f>
        <v>SM10_W127</v>
      </c>
      <c r="D75" s="6" t="s">
        <v>78</v>
      </c>
      <c r="E75" s="7" t="str">
        <f aca="false">IF(D75="PRE","N/A", 
IF(D75="SUP",I75, 
IF(D75="Single-choice",I75, 
IF(D75="Single-choice w/ correct",I75, 
IF(D75="Series", LEFT(I75, FIND("    ",I75)
))))))</f>
        <v>Have you done any of the following activities on social media in the past year? </v>
      </c>
      <c r="F75" s="8" t="str">
        <f aca="false">IF(D75="PRE",I75,
IF(D75="SUP",I75,
IF(D75="Single-choice","N/A",
IF(D75="Single-choice w/ correct","N/A",
IF(D75="Series", RIGHT(I75, LEN(I75) - FIND("    ",I75)-3
))))))</f>
        <v>Looked for information about rallies or protests happening in your area</v>
      </c>
      <c r="G75" s="6" t="s">
        <v>93</v>
      </c>
      <c r="H75" s="10" t="s">
        <v>104</v>
      </c>
      <c r="I75" s="9" t="s">
        <v>105</v>
      </c>
      <c r="J75" s="10" t="n">
        <v>2</v>
      </c>
      <c r="K75" s="10" t="s">
        <v>97</v>
      </c>
    </row>
    <row r="76" customFormat="false" ht="34.2" hidden="false" customHeight="false" outlineLevel="0" collapsed="false">
      <c r="A76" s="1" t="s">
        <v>13</v>
      </c>
      <c r="B76" s="1" t="s">
        <v>54</v>
      </c>
      <c r="C76" s="1" t="str">
        <f aca="false">IF(D76="PRE","N/A",
IF(D76="SUP","N/A",
IF(D76="Single-choice",H76,
IF(D76="Single-choice w/ correct",H76,
IF(D76="Series", LEFT(H76,FIND("_",H76)-1) &amp; "_" &amp; MID(H76,FIND("_",H76,FIND("_",H76)+1)+1,999)
)))))</f>
        <v>SM10_W127</v>
      </c>
      <c r="D76" s="6" t="s">
        <v>78</v>
      </c>
      <c r="E76" s="7" t="str">
        <f aca="false">IF(D76="PRE","N/A", 
IF(D76="SUP",I76, 
IF(D76="Single-choice",I76, 
IF(D76="Single-choice w/ correct",I76, 
IF(D76="Series", LEFT(I76, FIND("    ",I76)
))))))</f>
        <v>Have you done any of the following activities on social media in the past year? </v>
      </c>
      <c r="F76" s="8" t="str">
        <f aca="false">IF(D76="PRE",I76,
IF(D76="SUP",I76,
IF(D76="Single-choice","N/A",
IF(D76="Single-choice w/ correct","N/A",
IF(D76="Series", RIGHT(I76, LEN(I76) - FIND("    ",I76)-3
))))))</f>
        <v>Looked for information about rallies or protests happening in your area</v>
      </c>
      <c r="G76" s="6" t="s">
        <v>93</v>
      </c>
      <c r="H76" s="10" t="s">
        <v>104</v>
      </c>
      <c r="I76" s="9" t="s">
        <v>105</v>
      </c>
      <c r="J76" s="10" t="n">
        <v>99</v>
      </c>
      <c r="K76" s="10" t="s">
        <v>64</v>
      </c>
    </row>
    <row r="77" customFormat="false" ht="15" hidden="false" customHeight="true" outlineLevel="0" collapsed="false">
      <c r="A77" s="1" t="s">
        <v>13</v>
      </c>
      <c r="B77" s="1" t="s">
        <v>54</v>
      </c>
      <c r="C77" s="1" t="str">
        <f aca="false">IF(D77="PRE","N/A",
IF(D77="SUP","N/A",
IF(D77="Single-choice",H77,
IF(D77="Single-choice w/ correct",H77,
IF(D77="Series", LEFT(H77,FIND("_",H77)-1) &amp; "_" &amp; MID(H77,FIND("_",H77,FIND("_",H77)+1)+1,999)
)))))</f>
        <v>SM11_W127</v>
      </c>
      <c r="D77" s="6" t="s">
        <v>78</v>
      </c>
      <c r="E77" s="7" t="str">
        <f aca="false">IF(D77="PRE","N/A", 
IF(D77="SUP",I77, 
IF(D77="Single-choice",I77, 
IF(D77="Single-choice w/ correct",I77, 
IF(D77="Series", LEFT(I77, FIND("    ",I77)
))))))</f>
        <v>How important is social media to you personally when it comes to the following things? </v>
      </c>
      <c r="F77" s="8" t="str">
        <f aca="false">IF(D77="PRE",I77,
IF(D77="SUP",I77,
IF(D77="Single-choice","N/A",
IF(D77="Single-choice w/ correct","N/A",
IF(D77="Series", RIGHT(I77, LEN(I77) - FIND("    ",I77)-3
))))))</f>
        <v>Finding other people who share your views about important issues</v>
      </c>
      <c r="G77" s="6" t="s">
        <v>93</v>
      </c>
      <c r="H77" s="6" t="s">
        <v>106</v>
      </c>
      <c r="I77" s="9" t="s">
        <v>107</v>
      </c>
      <c r="J77" s="6" t="n">
        <v>1</v>
      </c>
      <c r="K77" s="6" t="s">
        <v>108</v>
      </c>
    </row>
    <row r="78" customFormat="false" ht="34.2" hidden="false" customHeight="false" outlineLevel="0" collapsed="false">
      <c r="A78" s="1" t="s">
        <v>13</v>
      </c>
      <c r="B78" s="1" t="s">
        <v>54</v>
      </c>
      <c r="C78" s="1" t="str">
        <f aca="false">IF(D78="PRE","N/A",
IF(D78="SUP","N/A",
IF(D78="Single-choice",H78,
IF(D78="Single-choice w/ correct",H78,
IF(D78="Series", LEFT(H78,FIND("_",H78)-1) &amp; "_" &amp; MID(H78,FIND("_",H78,FIND("_",H78)+1)+1,999)
)))))</f>
        <v>SM11_W127</v>
      </c>
      <c r="D78" s="6" t="s">
        <v>78</v>
      </c>
      <c r="E78" s="7" t="str">
        <f aca="false">IF(D78="PRE","N/A", 
IF(D78="SUP",I78, 
IF(D78="Single-choice",I78, 
IF(D78="Single-choice w/ correct",I78, 
IF(D78="Series", LEFT(I78, FIND("    ",I78)
))))))</f>
        <v>How important is social media to you personally when it comes to the following things? </v>
      </c>
      <c r="F78" s="8" t="str">
        <f aca="false">IF(D78="PRE",I78,
IF(D78="SUP",I78,
IF(D78="Single-choice","N/A",
IF(D78="Single-choice w/ correct","N/A",
IF(D78="Series", RIGHT(I78, LEN(I78) - FIND("    ",I78)-3
))))))</f>
        <v>Finding other people who share your views about important issues</v>
      </c>
      <c r="G78" s="6" t="s">
        <v>93</v>
      </c>
      <c r="H78" s="10" t="s">
        <v>106</v>
      </c>
      <c r="I78" s="9" t="s">
        <v>107</v>
      </c>
      <c r="J78" s="10" t="n">
        <v>2</v>
      </c>
      <c r="K78" s="10" t="s">
        <v>109</v>
      </c>
    </row>
    <row r="79" customFormat="false" ht="34.2" hidden="false" customHeight="false" outlineLevel="0" collapsed="false">
      <c r="A79" s="1" t="s">
        <v>13</v>
      </c>
      <c r="B79" s="1" t="s">
        <v>54</v>
      </c>
      <c r="C79" s="1" t="str">
        <f aca="false">IF(D79="PRE","N/A",
IF(D79="SUP","N/A",
IF(D79="Single-choice",H79,
IF(D79="Single-choice w/ correct",H79,
IF(D79="Series", LEFT(H79,FIND("_",H79)-1) &amp; "_" &amp; MID(H79,FIND("_",H79,FIND("_",H79)+1)+1,999)
)))))</f>
        <v>SM11_W127</v>
      </c>
      <c r="D79" s="6" t="s">
        <v>78</v>
      </c>
      <c r="E79" s="7" t="str">
        <f aca="false">IF(D79="PRE","N/A", 
IF(D79="SUP",I79, 
IF(D79="Single-choice",I79, 
IF(D79="Single-choice w/ correct",I79, 
IF(D79="Series", LEFT(I79, FIND("    ",I79)
))))))</f>
        <v>How important is social media to you personally when it comes to the following things? </v>
      </c>
      <c r="F79" s="8" t="str">
        <f aca="false">IF(D79="PRE",I79,
IF(D79="SUP",I79,
IF(D79="Single-choice","N/A",
IF(D79="Single-choice w/ correct","N/A",
IF(D79="Series", RIGHT(I79, LEN(I79) - FIND("    ",I79)-3
))))))</f>
        <v>Finding other people who share your views about important issues</v>
      </c>
      <c r="G79" s="6" t="s">
        <v>93</v>
      </c>
      <c r="H79" s="10" t="s">
        <v>106</v>
      </c>
      <c r="I79" s="9" t="s">
        <v>107</v>
      </c>
      <c r="J79" s="10" t="n">
        <v>3</v>
      </c>
      <c r="K79" s="10" t="s">
        <v>110</v>
      </c>
    </row>
    <row r="80" customFormat="false" ht="34.2" hidden="false" customHeight="false" outlineLevel="0" collapsed="false">
      <c r="A80" s="1" t="s">
        <v>13</v>
      </c>
      <c r="B80" s="1" t="s">
        <v>54</v>
      </c>
      <c r="C80" s="1" t="str">
        <f aca="false">IF(D80="PRE","N/A",
IF(D80="SUP","N/A",
IF(D80="Single-choice",H80,
IF(D80="Single-choice w/ correct",H80,
IF(D80="Series", LEFT(H80,FIND("_",H80)-1) &amp; "_" &amp; MID(H80,FIND("_",H80,FIND("_",H80)+1)+1,999)
)))))</f>
        <v>SM11_W127</v>
      </c>
      <c r="D80" s="6" t="s">
        <v>78</v>
      </c>
      <c r="E80" s="7" t="str">
        <f aca="false">IF(D80="PRE","N/A", 
IF(D80="SUP",I80, 
IF(D80="Single-choice",I80, 
IF(D80="Single-choice w/ correct",I80, 
IF(D80="Series", LEFT(I80, FIND("    ",I80)
))))))</f>
        <v>How important is social media to you personally when it comes to the following things? </v>
      </c>
      <c r="F80" s="8" t="str">
        <f aca="false">IF(D80="PRE",I80,
IF(D80="SUP",I80,
IF(D80="Single-choice","N/A",
IF(D80="Single-choice w/ correct","N/A",
IF(D80="Series", RIGHT(I80, LEN(I80) - FIND("    ",I80)-3
))))))</f>
        <v>Finding other people who share your views about important issues</v>
      </c>
      <c r="G80" s="6" t="s">
        <v>93</v>
      </c>
      <c r="H80" s="10" t="s">
        <v>106</v>
      </c>
      <c r="I80" s="9" t="s">
        <v>107</v>
      </c>
      <c r="J80" s="10" t="n">
        <v>4</v>
      </c>
      <c r="K80" s="10" t="s">
        <v>111</v>
      </c>
    </row>
    <row r="81" customFormat="false" ht="34.2" hidden="false" customHeight="false" outlineLevel="0" collapsed="false">
      <c r="A81" s="1" t="s">
        <v>13</v>
      </c>
      <c r="B81" s="1" t="s">
        <v>54</v>
      </c>
      <c r="C81" s="1" t="str">
        <f aca="false">IF(D81="PRE","N/A",
IF(D81="SUP","N/A",
IF(D81="Single-choice",H81,
IF(D81="Single-choice w/ correct",H81,
IF(D81="Series", LEFT(H81,FIND("_",H81)-1) &amp; "_" &amp; MID(H81,FIND("_",H81,FIND("_",H81)+1)+1,999)
)))))</f>
        <v>SM11_W127</v>
      </c>
      <c r="D81" s="6" t="s">
        <v>78</v>
      </c>
      <c r="E81" s="7" t="str">
        <f aca="false">IF(D81="PRE","N/A", 
IF(D81="SUP",I81, 
IF(D81="Single-choice",I81, 
IF(D81="Single-choice w/ correct",I81, 
IF(D81="Series", LEFT(I81, FIND("    ",I81)
))))))</f>
        <v>How important is social media to you personally when it comes to the following things? </v>
      </c>
      <c r="F81" s="8" t="str">
        <f aca="false">IF(D81="PRE",I81,
IF(D81="SUP",I81,
IF(D81="Single-choice","N/A",
IF(D81="Single-choice w/ correct","N/A",
IF(D81="Series", RIGHT(I81, LEN(I81) - FIND("    ",I81)-3
))))))</f>
        <v>Finding other people who share your views about important issues</v>
      </c>
      <c r="G81" s="6" t="s">
        <v>93</v>
      </c>
      <c r="H81" s="10" t="s">
        <v>106</v>
      </c>
      <c r="I81" s="9" t="s">
        <v>107</v>
      </c>
      <c r="J81" s="10" t="n">
        <v>99</v>
      </c>
      <c r="K81" s="10" t="s">
        <v>64</v>
      </c>
    </row>
    <row r="82" customFormat="false" ht="15" hidden="false" customHeight="true" outlineLevel="0" collapsed="false">
      <c r="A82" s="1" t="s">
        <v>13</v>
      </c>
      <c r="B82" s="1" t="s">
        <v>54</v>
      </c>
      <c r="C82" s="1" t="str">
        <f aca="false">IF(D82="PRE","N/A",
IF(D82="SUP","N/A",
IF(D82="Single-choice",H82,
IF(D82="Single-choice w/ correct",H82,
IF(D82="Series", LEFT(H82,FIND("_",H82)-1) &amp; "_" &amp; MID(H82,FIND("_",H82,FIND("_",H82)+1)+1,999)
)))))</f>
        <v>SM11_W127</v>
      </c>
      <c r="D82" s="6" t="s">
        <v>78</v>
      </c>
      <c r="E82" s="7" t="str">
        <f aca="false">IF(D82="PRE","N/A", 
IF(D82="SUP",I82, 
IF(D82="Single-choice",I82, 
IF(D82="Single-choice w/ correct",I82, 
IF(D82="Series", LEFT(I82, FIND("    ",I82)
))))))</f>
        <v>How important is social media to you personally when it comes to the following things? </v>
      </c>
      <c r="F82" s="8" t="str">
        <f aca="false">IF(D82="PRE",I82,
IF(D82="SUP",I82,
IF(D82="Single-choice","N/A",
IF(D82="Single-choice w/ correct","N/A",
IF(D82="Series", RIGHT(I82, LEN(I82) - FIND("    ",I82)-3
))))))</f>
        <v>Getting involved with political or social issues that are important to you</v>
      </c>
      <c r="G82" s="6" t="s">
        <v>93</v>
      </c>
      <c r="H82" s="6" t="s">
        <v>112</v>
      </c>
      <c r="I82" s="9" t="s">
        <v>113</v>
      </c>
      <c r="J82" s="6" t="n">
        <v>1</v>
      </c>
      <c r="K82" s="6" t="s">
        <v>108</v>
      </c>
    </row>
    <row r="83" customFormat="false" ht="34.2" hidden="false" customHeight="false" outlineLevel="0" collapsed="false">
      <c r="A83" s="1" t="s">
        <v>13</v>
      </c>
      <c r="B83" s="1" t="s">
        <v>54</v>
      </c>
      <c r="C83" s="1" t="str">
        <f aca="false">IF(D83="PRE","N/A",
IF(D83="SUP","N/A",
IF(D83="Single-choice",H83,
IF(D83="Single-choice w/ correct",H83,
IF(D83="Series", LEFT(H83,FIND("_",H83)-1) &amp; "_" &amp; MID(H83,FIND("_",H83,FIND("_",H83)+1)+1,999)
)))))</f>
        <v>SM11_W127</v>
      </c>
      <c r="D83" s="6" t="s">
        <v>78</v>
      </c>
      <c r="E83" s="7" t="str">
        <f aca="false">IF(D83="PRE","N/A", 
IF(D83="SUP",I83, 
IF(D83="Single-choice",I83, 
IF(D83="Single-choice w/ correct",I83, 
IF(D83="Series", LEFT(I83, FIND("    ",I83)
))))))</f>
        <v>How important is social media to you personally when it comes to the following things? </v>
      </c>
      <c r="F83" s="8" t="str">
        <f aca="false">IF(D83="PRE",I83,
IF(D83="SUP",I83,
IF(D83="Single-choice","N/A",
IF(D83="Single-choice w/ correct","N/A",
IF(D83="Series", RIGHT(I83, LEN(I83) - FIND("    ",I83)-3
))))))</f>
        <v>Getting involved with political or social issues that are important to you</v>
      </c>
      <c r="G83" s="6" t="s">
        <v>93</v>
      </c>
      <c r="H83" s="10" t="s">
        <v>112</v>
      </c>
      <c r="I83" s="9" t="s">
        <v>113</v>
      </c>
      <c r="J83" s="10" t="n">
        <v>2</v>
      </c>
      <c r="K83" s="10" t="s">
        <v>109</v>
      </c>
    </row>
    <row r="84" customFormat="false" ht="34.2" hidden="false" customHeight="false" outlineLevel="0" collapsed="false">
      <c r="A84" s="1" t="s">
        <v>13</v>
      </c>
      <c r="B84" s="1" t="s">
        <v>54</v>
      </c>
      <c r="C84" s="1" t="str">
        <f aca="false">IF(D84="PRE","N/A",
IF(D84="SUP","N/A",
IF(D84="Single-choice",H84,
IF(D84="Single-choice w/ correct",H84,
IF(D84="Series", LEFT(H84,FIND("_",H84)-1) &amp; "_" &amp; MID(H84,FIND("_",H84,FIND("_",H84)+1)+1,999)
)))))</f>
        <v>SM11_W127</v>
      </c>
      <c r="D84" s="6" t="s">
        <v>78</v>
      </c>
      <c r="E84" s="7" t="str">
        <f aca="false">IF(D84="PRE","N/A", 
IF(D84="SUP",I84, 
IF(D84="Single-choice",I84, 
IF(D84="Single-choice w/ correct",I84, 
IF(D84="Series", LEFT(I84, FIND("    ",I84)
))))))</f>
        <v>How important is social media to you personally when it comes to the following things? </v>
      </c>
      <c r="F84" s="8" t="str">
        <f aca="false">IF(D84="PRE",I84,
IF(D84="SUP",I84,
IF(D84="Single-choice","N/A",
IF(D84="Single-choice w/ correct","N/A",
IF(D84="Series", RIGHT(I84, LEN(I84) - FIND("    ",I84)-3
))))))</f>
        <v>Getting involved with political or social issues that are important to you</v>
      </c>
      <c r="G84" s="6" t="s">
        <v>93</v>
      </c>
      <c r="H84" s="10" t="s">
        <v>112</v>
      </c>
      <c r="I84" s="9" t="s">
        <v>113</v>
      </c>
      <c r="J84" s="10" t="n">
        <v>3</v>
      </c>
      <c r="K84" s="10" t="s">
        <v>110</v>
      </c>
    </row>
    <row r="85" customFormat="false" ht="34.2" hidden="false" customHeight="false" outlineLevel="0" collapsed="false">
      <c r="A85" s="1" t="s">
        <v>13</v>
      </c>
      <c r="B85" s="1" t="s">
        <v>54</v>
      </c>
      <c r="C85" s="1" t="str">
        <f aca="false">IF(D85="PRE","N/A",
IF(D85="SUP","N/A",
IF(D85="Single-choice",H85,
IF(D85="Single-choice w/ correct",H85,
IF(D85="Series", LEFT(H85,FIND("_",H85)-1) &amp; "_" &amp; MID(H85,FIND("_",H85,FIND("_",H85)+1)+1,999)
)))))</f>
        <v>SM11_W127</v>
      </c>
      <c r="D85" s="6" t="s">
        <v>78</v>
      </c>
      <c r="E85" s="7" t="str">
        <f aca="false">IF(D85="PRE","N/A", 
IF(D85="SUP",I85, 
IF(D85="Single-choice",I85, 
IF(D85="Single-choice w/ correct",I85, 
IF(D85="Series", LEFT(I85, FIND("    ",I85)
))))))</f>
        <v>How important is social media to you personally when it comes to the following things? </v>
      </c>
      <c r="F85" s="8" t="str">
        <f aca="false">IF(D85="PRE",I85,
IF(D85="SUP",I85,
IF(D85="Single-choice","N/A",
IF(D85="Single-choice w/ correct","N/A",
IF(D85="Series", RIGHT(I85, LEN(I85) - FIND("    ",I85)-3
))))))</f>
        <v>Getting involved with political or social issues that are important to you</v>
      </c>
      <c r="G85" s="6" t="s">
        <v>93</v>
      </c>
      <c r="H85" s="10" t="s">
        <v>112</v>
      </c>
      <c r="I85" s="9" t="s">
        <v>113</v>
      </c>
      <c r="J85" s="10" t="n">
        <v>4</v>
      </c>
      <c r="K85" s="10" t="s">
        <v>111</v>
      </c>
    </row>
    <row r="86" customFormat="false" ht="34.2" hidden="false" customHeight="false" outlineLevel="0" collapsed="false">
      <c r="A86" s="1" t="s">
        <v>13</v>
      </c>
      <c r="B86" s="1" t="s">
        <v>54</v>
      </c>
      <c r="C86" s="1" t="str">
        <f aca="false">IF(D86="PRE","N/A",
IF(D86="SUP","N/A",
IF(D86="Single-choice",H86,
IF(D86="Single-choice w/ correct",H86,
IF(D86="Series", LEFT(H86,FIND("_",H86)-1) &amp; "_" &amp; MID(H86,FIND("_",H86,FIND("_",H86)+1)+1,999)
)))))</f>
        <v>SM11_W127</v>
      </c>
      <c r="D86" s="6" t="s">
        <v>78</v>
      </c>
      <c r="E86" s="7" t="str">
        <f aca="false">IF(D86="PRE","N/A", 
IF(D86="SUP",I86, 
IF(D86="Single-choice",I86, 
IF(D86="Single-choice w/ correct",I86, 
IF(D86="Series", LEFT(I86, FIND("    ",I86)
))))))</f>
        <v>How important is social media to you personally when it comes to the following things? </v>
      </c>
      <c r="F86" s="8" t="str">
        <f aca="false">IF(D86="PRE",I86,
IF(D86="SUP",I86,
IF(D86="Single-choice","N/A",
IF(D86="Single-choice w/ correct","N/A",
IF(D86="Series", RIGHT(I86, LEN(I86) - FIND("    ",I86)-3
))))))</f>
        <v>Getting involved with political or social issues that are important to you</v>
      </c>
      <c r="G86" s="6" t="s">
        <v>93</v>
      </c>
      <c r="H86" s="10" t="s">
        <v>112</v>
      </c>
      <c r="I86" s="9" t="s">
        <v>113</v>
      </c>
      <c r="J86" s="10" t="n">
        <v>99</v>
      </c>
      <c r="K86" s="10" t="s">
        <v>64</v>
      </c>
    </row>
    <row r="87" customFormat="false" ht="15" hidden="false" customHeight="true" outlineLevel="0" collapsed="false">
      <c r="A87" s="1" t="s">
        <v>13</v>
      </c>
      <c r="B87" s="1" t="s">
        <v>54</v>
      </c>
      <c r="C87" s="1" t="str">
        <f aca="false">IF(D87="PRE","N/A",
IF(D87="SUP","N/A",
IF(D87="Single-choice",H87,
IF(D87="Single-choice w/ correct",H87,
IF(D87="Series", LEFT(H87,FIND("_",H87)-1) &amp; "_" &amp; MID(H87,FIND("_",H87,FIND("_",H87)+1)+1,999)
)))))</f>
        <v>SM11_W127</v>
      </c>
      <c r="D87" s="6" t="s">
        <v>78</v>
      </c>
      <c r="E87" s="7" t="str">
        <f aca="false">IF(D87="PRE","N/A", 
IF(D87="SUP",I87, 
IF(D87="Single-choice",I87, 
IF(D87="Single-choice w/ correct",I87, 
IF(D87="Series", LEFT(I87, FIND("    ",I87)
))))))</f>
        <v>How important is social media to you personally when it comes to the following things? </v>
      </c>
      <c r="F87" s="8" t="str">
        <f aca="false">IF(D87="PRE",I87,
IF(D87="SUP",I87,
IF(D87="Single-choice","N/A",
IF(D87="Single-choice w/ correct","N/A",
IF(D87="Series", RIGHT(I87, LEN(I87) - FIND("    ",I87)-3
))))))</f>
        <v>Giving you a venue to express your political opinions</v>
      </c>
      <c r="G87" s="6" t="s">
        <v>93</v>
      </c>
      <c r="H87" s="6" t="s">
        <v>114</v>
      </c>
      <c r="I87" s="9" t="s">
        <v>115</v>
      </c>
      <c r="J87" s="6" t="n">
        <v>1</v>
      </c>
      <c r="K87" s="6" t="s">
        <v>108</v>
      </c>
    </row>
    <row r="88" customFormat="false" ht="23.3" hidden="false" customHeight="false" outlineLevel="0" collapsed="false">
      <c r="A88" s="1" t="s">
        <v>13</v>
      </c>
      <c r="B88" s="1" t="s">
        <v>54</v>
      </c>
      <c r="C88" s="1" t="str">
        <f aca="false">IF(D88="PRE","N/A",
IF(D88="SUP","N/A",
IF(D88="Single-choice",H88,
IF(D88="Single-choice w/ correct",H88,
IF(D88="Series", LEFT(H88,FIND("_",H88)-1) &amp; "_" &amp; MID(H88,FIND("_",H88,FIND("_",H88)+1)+1,999)
)))))</f>
        <v>SM11_W127</v>
      </c>
      <c r="D88" s="6" t="s">
        <v>78</v>
      </c>
      <c r="E88" s="7" t="str">
        <f aca="false">IF(D88="PRE","N/A", 
IF(D88="SUP",I88, 
IF(D88="Single-choice",I88, 
IF(D88="Single-choice w/ correct",I88, 
IF(D88="Series", LEFT(I88, FIND("    ",I88)
))))))</f>
        <v>How important is social media to you personally when it comes to the following things? </v>
      </c>
      <c r="F88" s="8" t="str">
        <f aca="false">IF(D88="PRE",I88,
IF(D88="SUP",I88,
IF(D88="Single-choice","N/A",
IF(D88="Single-choice w/ correct","N/A",
IF(D88="Series", RIGHT(I88, LEN(I88) - FIND("    ",I88)-3
))))))</f>
        <v>Giving you a venue to express your political opinions</v>
      </c>
      <c r="G88" s="6" t="s">
        <v>93</v>
      </c>
      <c r="H88" s="10" t="s">
        <v>114</v>
      </c>
      <c r="I88" s="9" t="s">
        <v>115</v>
      </c>
      <c r="J88" s="10" t="n">
        <v>2</v>
      </c>
      <c r="K88" s="10" t="s">
        <v>109</v>
      </c>
    </row>
    <row r="89" customFormat="false" ht="23.3" hidden="false" customHeight="false" outlineLevel="0" collapsed="false">
      <c r="A89" s="1" t="s">
        <v>13</v>
      </c>
      <c r="B89" s="1" t="s">
        <v>54</v>
      </c>
      <c r="C89" s="1" t="str">
        <f aca="false">IF(D89="PRE","N/A",
IF(D89="SUP","N/A",
IF(D89="Single-choice",H89,
IF(D89="Single-choice w/ correct",H89,
IF(D89="Series", LEFT(H89,FIND("_",H89)-1) &amp; "_" &amp; MID(H89,FIND("_",H89,FIND("_",H89)+1)+1,999)
)))))</f>
        <v>SM11_W127</v>
      </c>
      <c r="D89" s="6" t="s">
        <v>78</v>
      </c>
      <c r="E89" s="7" t="str">
        <f aca="false">IF(D89="PRE","N/A", 
IF(D89="SUP",I89, 
IF(D89="Single-choice",I89, 
IF(D89="Single-choice w/ correct",I89, 
IF(D89="Series", LEFT(I89, FIND("    ",I89)
))))))</f>
        <v>How important is social media to you personally when it comes to the following things? </v>
      </c>
      <c r="F89" s="8" t="str">
        <f aca="false">IF(D89="PRE",I89,
IF(D89="SUP",I89,
IF(D89="Single-choice","N/A",
IF(D89="Single-choice w/ correct","N/A",
IF(D89="Series", RIGHT(I89, LEN(I89) - FIND("    ",I89)-3
))))))</f>
        <v>Giving you a venue to express your political opinions</v>
      </c>
      <c r="G89" s="6" t="s">
        <v>93</v>
      </c>
      <c r="H89" s="10" t="s">
        <v>114</v>
      </c>
      <c r="I89" s="9" t="s">
        <v>115</v>
      </c>
      <c r="J89" s="10" t="n">
        <v>3</v>
      </c>
      <c r="K89" s="10" t="s">
        <v>110</v>
      </c>
    </row>
    <row r="90" customFormat="false" ht="23.3" hidden="false" customHeight="false" outlineLevel="0" collapsed="false">
      <c r="A90" s="1" t="s">
        <v>13</v>
      </c>
      <c r="B90" s="1" t="s">
        <v>54</v>
      </c>
      <c r="C90" s="1" t="str">
        <f aca="false">IF(D90="PRE","N/A",
IF(D90="SUP","N/A",
IF(D90="Single-choice",H90,
IF(D90="Single-choice w/ correct",H90,
IF(D90="Series", LEFT(H90,FIND("_",H90)-1) &amp; "_" &amp; MID(H90,FIND("_",H90,FIND("_",H90)+1)+1,999)
)))))</f>
        <v>SM11_W127</v>
      </c>
      <c r="D90" s="6" t="s">
        <v>78</v>
      </c>
      <c r="E90" s="7" t="str">
        <f aca="false">IF(D90="PRE","N/A", 
IF(D90="SUP",I90, 
IF(D90="Single-choice",I90, 
IF(D90="Single-choice w/ correct",I90, 
IF(D90="Series", LEFT(I90, FIND("    ",I90)
))))))</f>
        <v>How important is social media to you personally when it comes to the following things? </v>
      </c>
      <c r="F90" s="8" t="str">
        <f aca="false">IF(D90="PRE",I90,
IF(D90="SUP",I90,
IF(D90="Single-choice","N/A",
IF(D90="Single-choice w/ correct","N/A",
IF(D90="Series", RIGHT(I90, LEN(I90) - FIND("    ",I90)-3
))))))</f>
        <v>Giving you a venue to express your political opinions</v>
      </c>
      <c r="G90" s="6" t="s">
        <v>93</v>
      </c>
      <c r="H90" s="10" t="s">
        <v>114</v>
      </c>
      <c r="I90" s="9" t="s">
        <v>115</v>
      </c>
      <c r="J90" s="10" t="n">
        <v>4</v>
      </c>
      <c r="K90" s="10" t="s">
        <v>111</v>
      </c>
    </row>
    <row r="91" customFormat="false" ht="23.3" hidden="false" customHeight="false" outlineLevel="0" collapsed="false">
      <c r="A91" s="1" t="s">
        <v>13</v>
      </c>
      <c r="B91" s="1" t="s">
        <v>54</v>
      </c>
      <c r="C91" s="1" t="str">
        <f aca="false">IF(D91="PRE","N/A",
IF(D91="SUP","N/A",
IF(D91="Single-choice",H91,
IF(D91="Single-choice w/ correct",H91,
IF(D91="Series", LEFT(H91,FIND("_",H91)-1) &amp; "_" &amp; MID(H91,FIND("_",H91,FIND("_",H91)+1)+1,999)
)))))</f>
        <v>SM11_W127</v>
      </c>
      <c r="D91" s="6" t="s">
        <v>78</v>
      </c>
      <c r="E91" s="7" t="str">
        <f aca="false">IF(D91="PRE","N/A", 
IF(D91="SUP",I91, 
IF(D91="Single-choice",I91, 
IF(D91="Single-choice w/ correct",I91, 
IF(D91="Series", LEFT(I91, FIND("    ",I91)
))))))</f>
        <v>How important is social media to you personally when it comes to the following things? </v>
      </c>
      <c r="F91" s="8" t="str">
        <f aca="false">IF(D91="PRE",I91,
IF(D91="SUP",I91,
IF(D91="Single-choice","N/A",
IF(D91="Single-choice w/ correct","N/A",
IF(D91="Series", RIGHT(I91, LEN(I91) - FIND("    ",I91)-3
))))))</f>
        <v>Giving you a venue to express your political opinions</v>
      </c>
      <c r="G91" s="6" t="s">
        <v>93</v>
      </c>
      <c r="H91" s="10" t="s">
        <v>114</v>
      </c>
      <c r="I91" s="9" t="s">
        <v>115</v>
      </c>
      <c r="J91" s="10" t="n">
        <v>99</v>
      </c>
      <c r="K91" s="10" t="s">
        <v>64</v>
      </c>
    </row>
    <row r="92" customFormat="false" ht="15" hidden="false" customHeight="true" outlineLevel="0" collapsed="false">
      <c r="A92" s="1" t="s">
        <v>13</v>
      </c>
      <c r="B92" s="1" t="s">
        <v>116</v>
      </c>
      <c r="C92" s="1" t="str">
        <f aca="false">IF(D92="PRE","N/A",
IF(D92="SUP","N/A",
IF(D92="Single-choice",H92,
IF(D92="Single-choice w/ correct",H92,
IF(D92="Series", LEFT(H92,FIND("_",H92)-1) &amp; "_" &amp; MID(H92,FIND("_",H92,FIND("_",H92)+1)+1,999)
)))))</f>
        <v>DKQ1_W127</v>
      </c>
      <c r="D92" s="6" t="s">
        <v>117</v>
      </c>
      <c r="E92" s="7" t="str">
        <f aca="false">IF(D92="PRE","N/A", 
IF(D92="SUP",I92, 
IF(D92="Single-choice",I92, 
IF(D92="Single-choice w/ correct",I92, 
IF(D92="Series", LEFT(I92, FIND("    ",I92)
))))))</f>
        <v>As of April 2023, which of the following companies did Elon Musk run?</v>
      </c>
      <c r="F92" s="8" t="str">
        <f aca="false">IF(D92="PRE",I92,
IF(D92="SUP",I92,
IF(D92="Single-choice","N/A",
IF(D92="Single-choice w/ correct","N/A",
IF(D92="Series", RIGHT(I92, LEN(I92) - FIND("    ",I92)-3
))))))</f>
        <v>N/A</v>
      </c>
      <c r="G92" s="6" t="s">
        <v>56</v>
      </c>
      <c r="H92" s="6" t="s">
        <v>118</v>
      </c>
      <c r="I92" s="9" t="s">
        <v>119</v>
      </c>
      <c r="J92" s="6" t="n">
        <v>1</v>
      </c>
      <c r="K92" s="6" t="s">
        <v>120</v>
      </c>
    </row>
    <row r="93" customFormat="false" ht="15" hidden="false" customHeight="false" outlineLevel="0" collapsed="false">
      <c r="A93" s="1" t="s">
        <v>13</v>
      </c>
      <c r="B93" s="1" t="s">
        <v>116</v>
      </c>
      <c r="C93" s="1" t="str">
        <f aca="false">IF(D93="PRE","N/A",
IF(D93="SUP","N/A",
IF(D93="Single-choice",H93,
IF(D93="Single-choice w/ correct",H93,
IF(D93="Series", LEFT(H93,FIND("_",H93)-1) &amp; "_" &amp; MID(H93,FIND("_",H93,FIND("_",H93)+1)+1,999)
)))))</f>
        <v>DKQ1_W127</v>
      </c>
      <c r="D93" s="6" t="s">
        <v>117</v>
      </c>
      <c r="E93" s="7" t="str">
        <f aca="false">IF(D93="PRE","N/A", 
IF(D93="SUP",I93, 
IF(D93="Single-choice",I93, 
IF(D93="Single-choice w/ correct",I93, 
IF(D93="Series", LEFT(I93, FIND("    ",I93)
))))))</f>
        <v>As of April 2023, which of the following companies did Elon Musk run?</v>
      </c>
      <c r="F93" s="8" t="str">
        <f aca="false">IF(D93="PRE",I93,
IF(D93="SUP",I93,
IF(D93="Single-choice","N/A",
IF(D93="Single-choice w/ correct","N/A",
IF(D93="Series", RIGHT(I93, LEN(I93) - FIND("    ",I93)-3
))))))</f>
        <v>N/A</v>
      </c>
      <c r="G93" s="6" t="s">
        <v>56</v>
      </c>
      <c r="H93" s="10" t="s">
        <v>118</v>
      </c>
      <c r="I93" s="9" t="s">
        <v>119</v>
      </c>
      <c r="J93" s="10" t="n">
        <v>2</v>
      </c>
      <c r="K93" s="10" t="s">
        <v>121</v>
      </c>
    </row>
    <row r="94" customFormat="false" ht="15" hidden="false" customHeight="false" outlineLevel="0" collapsed="false">
      <c r="A94" s="1" t="s">
        <v>13</v>
      </c>
      <c r="B94" s="1" t="s">
        <v>116</v>
      </c>
      <c r="C94" s="1" t="str">
        <f aca="false">IF(D94="PRE","N/A",
IF(D94="SUP","N/A",
IF(D94="Single-choice",H94,
IF(D94="Single-choice w/ correct",H94,
IF(D94="Series", LEFT(H94,FIND("_",H94)-1) &amp; "_" &amp; MID(H94,FIND("_",H94,FIND("_",H94)+1)+1,999)
)))))</f>
        <v>DKQ1_W127</v>
      </c>
      <c r="D94" s="6" t="s">
        <v>117</v>
      </c>
      <c r="E94" s="7" t="str">
        <f aca="false">IF(D94="PRE","N/A", 
IF(D94="SUP",I94, 
IF(D94="Single-choice",I94, 
IF(D94="Single-choice w/ correct",I94, 
IF(D94="Series", LEFT(I94, FIND("    ",I94)
))))))</f>
        <v>As of April 2023, which of the following companies did Elon Musk run?</v>
      </c>
      <c r="F94" s="8" t="str">
        <f aca="false">IF(D94="PRE",I94,
IF(D94="SUP",I94,
IF(D94="Single-choice","N/A",
IF(D94="Single-choice w/ correct","N/A",
IF(D94="Series", RIGHT(I94, LEN(I94) - FIND("    ",I94)-3
))))))</f>
        <v>N/A</v>
      </c>
      <c r="G94" s="6" t="s">
        <v>56</v>
      </c>
      <c r="H94" s="10" t="s">
        <v>118</v>
      </c>
      <c r="I94" s="9" t="s">
        <v>119</v>
      </c>
      <c r="J94" s="10" t="n">
        <v>3</v>
      </c>
      <c r="K94" s="10" t="s">
        <v>122</v>
      </c>
    </row>
    <row r="95" customFormat="false" ht="15" hidden="false" customHeight="false" outlineLevel="0" collapsed="false">
      <c r="A95" s="1" t="s">
        <v>13</v>
      </c>
      <c r="B95" s="1" t="s">
        <v>116</v>
      </c>
      <c r="C95" s="1" t="str">
        <f aca="false">IF(D95="PRE","N/A",
IF(D95="SUP","N/A",
IF(D95="Single-choice",H95,
IF(D95="Single-choice w/ correct",H95,
IF(D95="Series", LEFT(H95,FIND("_",H95)-1) &amp; "_" &amp; MID(H95,FIND("_",H95,FIND("_",H95)+1)+1,999)
)))))</f>
        <v>DKQ1_W127</v>
      </c>
      <c r="D95" s="6" t="s">
        <v>117</v>
      </c>
      <c r="E95" s="7" t="str">
        <f aca="false">IF(D95="PRE","N/A", 
IF(D95="SUP",I95, 
IF(D95="Single-choice",I95, 
IF(D95="Single-choice w/ correct",I95, 
IF(D95="Series", LEFT(I95, FIND("    ",I95)
))))))</f>
        <v>As of April 2023, which of the following companies did Elon Musk run?</v>
      </c>
      <c r="F95" s="8" t="str">
        <f aca="false">IF(D95="PRE",I95,
IF(D95="SUP",I95,
IF(D95="Single-choice","N/A",
IF(D95="Single-choice w/ correct","N/A",
IF(D95="Series", RIGHT(I95, LEN(I95) - FIND("    ",I95)-3
))))))</f>
        <v>N/A</v>
      </c>
      <c r="G95" s="6" t="s">
        <v>56</v>
      </c>
      <c r="H95" s="10" t="s">
        <v>118</v>
      </c>
      <c r="I95" s="9" t="s">
        <v>119</v>
      </c>
      <c r="J95" s="10" t="n">
        <v>4</v>
      </c>
      <c r="K95" s="10" t="s">
        <v>123</v>
      </c>
    </row>
    <row r="96" customFormat="false" ht="15" hidden="false" customHeight="false" outlineLevel="0" collapsed="false">
      <c r="A96" s="1" t="s">
        <v>13</v>
      </c>
      <c r="B96" s="1" t="s">
        <v>116</v>
      </c>
      <c r="C96" s="1" t="str">
        <f aca="false">IF(D96="PRE","N/A",
IF(D96="SUP","N/A",
IF(D96="Single-choice",H96,
IF(D96="Single-choice w/ correct",H96,
IF(D96="Series", LEFT(H96,FIND("_",H96)-1) &amp; "_" &amp; MID(H96,FIND("_",H96,FIND("_",H96)+1)+1,999)
)))))</f>
        <v>DKQ1_W127</v>
      </c>
      <c r="D96" s="6" t="s">
        <v>117</v>
      </c>
      <c r="E96" s="7" t="str">
        <f aca="false">IF(D96="PRE","N/A", 
IF(D96="SUP",I96, 
IF(D96="Single-choice",I96, 
IF(D96="Single-choice w/ correct",I96, 
IF(D96="Series", LEFT(I96, FIND("    ",I96)
))))))</f>
        <v>As of April 2023, which of the following companies did Elon Musk run?</v>
      </c>
      <c r="F96" s="8" t="str">
        <f aca="false">IF(D96="PRE",I96,
IF(D96="SUP",I96,
IF(D96="Single-choice","N/A",
IF(D96="Single-choice w/ correct","N/A",
IF(D96="Series", RIGHT(I96, LEN(I96) - FIND("    ",I96)-3
))))))</f>
        <v>N/A</v>
      </c>
      <c r="G96" s="6" t="s">
        <v>56</v>
      </c>
      <c r="H96" s="10" t="s">
        <v>118</v>
      </c>
      <c r="I96" s="9" t="s">
        <v>119</v>
      </c>
      <c r="J96" s="10" t="n">
        <v>5</v>
      </c>
      <c r="K96" s="10" t="s">
        <v>124</v>
      </c>
    </row>
    <row r="97" customFormat="false" ht="15" hidden="false" customHeight="false" outlineLevel="0" collapsed="false">
      <c r="A97" s="1" t="s">
        <v>13</v>
      </c>
      <c r="B97" s="1" t="s">
        <v>116</v>
      </c>
      <c r="C97" s="1" t="str">
        <f aca="false">IF(D97="PRE","N/A",
IF(D97="SUP","N/A",
IF(D97="Single-choice",H97,
IF(D97="Single-choice w/ correct",H97,
IF(D97="Series", LEFT(H97,FIND("_",H97)-1) &amp; "_" &amp; MID(H97,FIND("_",H97,FIND("_",H97)+1)+1,999)
)))))</f>
        <v>DKQ1_W127</v>
      </c>
      <c r="D97" s="6" t="s">
        <v>117</v>
      </c>
      <c r="E97" s="7" t="str">
        <f aca="false">IF(D97="PRE","N/A", 
IF(D97="SUP",I97, 
IF(D97="Single-choice",I97, 
IF(D97="Single-choice w/ correct",I97, 
IF(D97="Series", LEFT(I97, FIND("    ",I97)
))))))</f>
        <v>As of April 2023, which of the following companies did Elon Musk run?</v>
      </c>
      <c r="F97" s="8" t="str">
        <f aca="false">IF(D97="PRE",I97,
IF(D97="SUP",I97,
IF(D97="Single-choice","N/A",
IF(D97="Single-choice w/ correct","N/A",
IF(D97="Series", RIGHT(I97, LEN(I97) - FIND("    ",I97)-3
))))))</f>
        <v>N/A</v>
      </c>
      <c r="G97" s="6" t="s">
        <v>56</v>
      </c>
      <c r="H97" s="10" t="s">
        <v>118</v>
      </c>
      <c r="I97" s="9" t="s">
        <v>119</v>
      </c>
      <c r="J97" s="10" t="n">
        <v>99</v>
      </c>
      <c r="K97" s="10" t="s">
        <v>64</v>
      </c>
    </row>
    <row r="98" customFormat="false" ht="15" hidden="false" customHeight="true" outlineLevel="0" collapsed="false">
      <c r="A98" s="1" t="s">
        <v>13</v>
      </c>
      <c r="B98" s="1" t="s">
        <v>116</v>
      </c>
      <c r="C98" s="1" t="str">
        <f aca="false">IF(D98="PRE","N/A",
IF(D98="SUP","N/A",
IF(D98="Single-choice",H98,
IF(D98="Single-choice w/ correct",H98,
IF(D98="Series", LEFT(H98,FIND("_",H98)-1) &amp; "_" &amp; MID(H98,FIND("_",H98,FIND("_",H98)+1)+1,999)
)))))</f>
        <v>DKQ2_W127</v>
      </c>
      <c r="D98" s="6" t="s">
        <v>117</v>
      </c>
      <c r="E98" s="7" t="str">
        <f aca="false">IF(D98="PRE","N/A", 
IF(D98="SUP",I98, 
IF(D98="Single-choice",I98, 
IF(D98="Single-choice w/ correct",I98, 
IF(D98="Series", LEFT(I98, FIND("    ",I98)
))))))</f>
        <v>If a website uses cookies, it means that the site can…</v>
      </c>
      <c r="F98" s="8" t="str">
        <f aca="false">IF(D98="PRE",I98,
IF(D98="SUP",I98,
IF(D98="Single-choice","N/A",
IF(D98="Single-choice w/ correct","N/A",
IF(D98="Series", RIGHT(I98, LEN(I98) - FIND("    ",I98)-3
))))))</f>
        <v>N/A</v>
      </c>
      <c r="G98" s="6" t="s">
        <v>56</v>
      </c>
      <c r="H98" s="6" t="s">
        <v>125</v>
      </c>
      <c r="I98" s="9" t="s">
        <v>126</v>
      </c>
      <c r="J98" s="6" t="n">
        <v>1</v>
      </c>
      <c r="K98" s="6" t="s">
        <v>127</v>
      </c>
    </row>
    <row r="99" customFormat="false" ht="15" hidden="false" customHeight="false" outlineLevel="0" collapsed="false">
      <c r="A99" s="1" t="s">
        <v>13</v>
      </c>
      <c r="B99" s="1" t="s">
        <v>116</v>
      </c>
      <c r="C99" s="1" t="str">
        <f aca="false">IF(D99="PRE","N/A",
IF(D99="SUP","N/A",
IF(D99="Single-choice",H99,
IF(D99="Single-choice w/ correct",H99,
IF(D99="Series", LEFT(H99,FIND("_",H99)-1) &amp; "_" &amp; MID(H99,FIND("_",H99,FIND("_",H99)+1)+1,999)
)))))</f>
        <v>DKQ2_W127</v>
      </c>
      <c r="D99" s="6" t="s">
        <v>117</v>
      </c>
      <c r="E99" s="7" t="str">
        <f aca="false">IF(D99="PRE","N/A", 
IF(D99="SUP",I99, 
IF(D99="Single-choice",I99, 
IF(D99="Single-choice w/ correct",I99, 
IF(D99="Series", LEFT(I99, FIND("    ",I99)
))))))</f>
        <v>If a website uses cookies, it means that the site can…</v>
      </c>
      <c r="F99" s="8" t="str">
        <f aca="false">IF(D99="PRE",I99,
IF(D99="SUP",I99,
IF(D99="Single-choice","N/A",
IF(D99="Single-choice w/ correct","N/A",
IF(D99="Series", RIGHT(I99, LEN(I99) - FIND("    ",I99)-3
))))))</f>
        <v>N/A</v>
      </c>
      <c r="G99" s="6" t="s">
        <v>56</v>
      </c>
      <c r="H99" s="10" t="s">
        <v>125</v>
      </c>
      <c r="I99" s="9" t="s">
        <v>126</v>
      </c>
      <c r="J99" s="10" t="n">
        <v>2</v>
      </c>
      <c r="K99" s="10" t="s">
        <v>128</v>
      </c>
    </row>
    <row r="100" customFormat="false" ht="15" hidden="false" customHeight="false" outlineLevel="0" collapsed="false">
      <c r="A100" s="1" t="s">
        <v>13</v>
      </c>
      <c r="B100" s="1" t="s">
        <v>116</v>
      </c>
      <c r="C100" s="1" t="str">
        <f aca="false">IF(D100="PRE","N/A",
IF(D100="SUP","N/A",
IF(D100="Single-choice",H100,
IF(D100="Single-choice w/ correct",H100,
IF(D100="Series", LEFT(H100,FIND("_",H100)-1) &amp; "_" &amp; MID(H100,FIND("_",H100,FIND("_",H100)+1)+1,999)
)))))</f>
        <v>DKQ2_W127</v>
      </c>
      <c r="D100" s="6" t="s">
        <v>117</v>
      </c>
      <c r="E100" s="7" t="str">
        <f aca="false">IF(D100="PRE","N/A", 
IF(D100="SUP",I100, 
IF(D100="Single-choice",I100, 
IF(D100="Single-choice w/ correct",I100, 
IF(D100="Series", LEFT(I100, FIND("    ",I100)
))))))</f>
        <v>If a website uses cookies, it means that the site can…</v>
      </c>
      <c r="F100" s="8" t="str">
        <f aca="false">IF(D100="PRE",I100,
IF(D100="SUP",I100,
IF(D100="Single-choice","N/A",
IF(D100="Single-choice w/ correct","N/A",
IF(D100="Series", RIGHT(I100, LEN(I100) - FIND("    ",I100)-3
))))))</f>
        <v>N/A</v>
      </c>
      <c r="G100" s="6" t="s">
        <v>56</v>
      </c>
      <c r="H100" s="10" t="s">
        <v>125</v>
      </c>
      <c r="I100" s="9" t="s">
        <v>126</v>
      </c>
      <c r="J100" s="10" t="n">
        <v>3</v>
      </c>
      <c r="K100" s="10" t="s">
        <v>129</v>
      </c>
    </row>
    <row r="101" customFormat="false" ht="15" hidden="false" customHeight="false" outlineLevel="0" collapsed="false">
      <c r="A101" s="1" t="s">
        <v>13</v>
      </c>
      <c r="B101" s="1" t="s">
        <v>116</v>
      </c>
      <c r="C101" s="1" t="str">
        <f aca="false">IF(D101="PRE","N/A",
IF(D101="SUP","N/A",
IF(D101="Single-choice",H101,
IF(D101="Single-choice w/ correct",H101,
IF(D101="Series", LEFT(H101,FIND("_",H101)-1) &amp; "_" &amp; MID(H101,FIND("_",H101,FIND("_",H101)+1)+1,999)
)))))</f>
        <v>DKQ2_W127</v>
      </c>
      <c r="D101" s="6" t="s">
        <v>117</v>
      </c>
      <c r="E101" s="7" t="str">
        <f aca="false">IF(D101="PRE","N/A", 
IF(D101="SUP",I101, 
IF(D101="Single-choice",I101, 
IF(D101="Single-choice w/ correct",I101, 
IF(D101="Series", LEFT(I101, FIND("    ",I101)
))))))</f>
        <v>If a website uses cookies, it means that the site can…</v>
      </c>
      <c r="F101" s="8" t="str">
        <f aca="false">IF(D101="PRE",I101,
IF(D101="SUP",I101,
IF(D101="Single-choice","N/A",
IF(D101="Single-choice w/ correct","N/A",
IF(D101="Series", RIGHT(I101, LEN(I101) - FIND("    ",I101)-3
))))))</f>
        <v>N/A</v>
      </c>
      <c r="G101" s="6" t="s">
        <v>56</v>
      </c>
      <c r="H101" s="10" t="s">
        <v>125</v>
      </c>
      <c r="I101" s="9" t="s">
        <v>126</v>
      </c>
      <c r="J101" s="10" t="n">
        <v>4</v>
      </c>
      <c r="K101" s="10" t="s">
        <v>130</v>
      </c>
    </row>
    <row r="102" customFormat="false" ht="15" hidden="false" customHeight="false" outlineLevel="0" collapsed="false">
      <c r="A102" s="1" t="s">
        <v>13</v>
      </c>
      <c r="B102" s="1" t="s">
        <v>116</v>
      </c>
      <c r="C102" s="1" t="str">
        <f aca="false">IF(D102="PRE","N/A",
IF(D102="SUP","N/A",
IF(D102="Single-choice",H102,
IF(D102="Single-choice w/ correct",H102,
IF(D102="Series", LEFT(H102,FIND("_",H102)-1) &amp; "_" &amp; MID(H102,FIND("_",H102,FIND("_",H102)+1)+1,999)
)))))</f>
        <v>DKQ2_W127</v>
      </c>
      <c r="D102" s="6" t="s">
        <v>117</v>
      </c>
      <c r="E102" s="7" t="str">
        <f aca="false">IF(D102="PRE","N/A", 
IF(D102="SUP",I102, 
IF(D102="Single-choice",I102, 
IF(D102="Single-choice w/ correct",I102, 
IF(D102="Series", LEFT(I102, FIND("    ",I102)
))))))</f>
        <v>If a website uses cookies, it means that the site can…</v>
      </c>
      <c r="F102" s="8" t="str">
        <f aca="false">IF(D102="PRE",I102,
IF(D102="SUP",I102,
IF(D102="Single-choice","N/A",
IF(D102="Single-choice w/ correct","N/A",
IF(D102="Series", RIGHT(I102, LEN(I102) - FIND("    ",I102)-3
))))))</f>
        <v>N/A</v>
      </c>
      <c r="G102" s="6" t="s">
        <v>56</v>
      </c>
      <c r="H102" s="10" t="s">
        <v>125</v>
      </c>
      <c r="I102" s="9" t="s">
        <v>126</v>
      </c>
      <c r="J102" s="10" t="n">
        <v>5</v>
      </c>
      <c r="K102" s="10" t="s">
        <v>124</v>
      </c>
    </row>
    <row r="103" customFormat="false" ht="15" hidden="false" customHeight="false" outlineLevel="0" collapsed="false">
      <c r="A103" s="1" t="s">
        <v>13</v>
      </c>
      <c r="B103" s="1" t="s">
        <v>116</v>
      </c>
      <c r="C103" s="1" t="str">
        <f aca="false">IF(D103="PRE","N/A",
IF(D103="SUP","N/A",
IF(D103="Single-choice",H103,
IF(D103="Single-choice w/ correct",H103,
IF(D103="Series", LEFT(H103,FIND("_",H103)-1) &amp; "_" &amp; MID(H103,FIND("_",H103,FIND("_",H103)+1)+1,999)
)))))</f>
        <v>DKQ2_W127</v>
      </c>
      <c r="D103" s="6" t="s">
        <v>117</v>
      </c>
      <c r="E103" s="7" t="str">
        <f aca="false">IF(D103="PRE","N/A", 
IF(D103="SUP",I103, 
IF(D103="Single-choice",I103, 
IF(D103="Single-choice w/ correct",I103, 
IF(D103="Series", LEFT(I103, FIND("    ",I103)
))))))</f>
        <v>If a website uses cookies, it means that the site can…</v>
      </c>
      <c r="F103" s="8" t="str">
        <f aca="false">IF(D103="PRE",I103,
IF(D103="SUP",I103,
IF(D103="Single-choice","N/A",
IF(D103="Single-choice w/ correct","N/A",
IF(D103="Series", RIGHT(I103, LEN(I103) - FIND("    ",I103)-3
))))))</f>
        <v>N/A</v>
      </c>
      <c r="G103" s="6" t="s">
        <v>56</v>
      </c>
      <c r="H103" s="10" t="s">
        <v>125</v>
      </c>
      <c r="I103" s="9" t="s">
        <v>126</v>
      </c>
      <c r="J103" s="10" t="n">
        <v>99</v>
      </c>
      <c r="K103" s="10" t="s">
        <v>64</v>
      </c>
    </row>
    <row r="104" customFormat="false" ht="15" hidden="false" customHeight="true" outlineLevel="0" collapsed="false">
      <c r="A104" s="1" t="s">
        <v>13</v>
      </c>
      <c r="B104" s="1" t="s">
        <v>116</v>
      </c>
      <c r="C104" s="1" t="str">
        <f aca="false">IF(D104="PRE","N/A",
IF(D104="SUP","N/A",
IF(D104="Single-choice",H104,
IF(D104="Single-choice w/ correct",H104,
IF(D104="Series", LEFT(H104,FIND("_",H104)-1) &amp; "_" &amp; MID(H104,FIND("_",H104,FIND("_",H104)+1)+1,999)
)))))</f>
        <v>DKQ3_W127</v>
      </c>
      <c r="D104" s="6" t="s">
        <v>117</v>
      </c>
      <c r="E104" s="7" t="str">
        <f aca="false">IF(D104="PRE","N/A", 
IF(D104="SUP",I104, 
IF(D104="Single-choice",I104, 
IF(D104="Single-choice w/ correct",I104, 
IF(D104="Series", LEFT(I104, FIND("    ",I104)
))))))</f>
        <v>What is a “deepfake”?</v>
      </c>
      <c r="F104" s="8" t="str">
        <f aca="false">IF(D104="PRE",I104,
IF(D104="SUP",I104,
IF(D104="Single-choice","N/A",
IF(D104="Single-choice w/ correct","N/A",
IF(D104="Series", RIGHT(I104, LEN(I104) - FIND("    ",I104)-3
))))))</f>
        <v>N/A</v>
      </c>
      <c r="G104" s="6" t="s">
        <v>56</v>
      </c>
      <c r="H104" s="6" t="s">
        <v>131</v>
      </c>
      <c r="I104" s="9" t="s">
        <v>132</v>
      </c>
      <c r="J104" s="6" t="n">
        <v>1</v>
      </c>
      <c r="K104" s="6" t="s">
        <v>133</v>
      </c>
    </row>
    <row r="105" customFormat="false" ht="15" hidden="false" customHeight="false" outlineLevel="0" collapsed="false">
      <c r="A105" s="1" t="s">
        <v>13</v>
      </c>
      <c r="B105" s="1" t="s">
        <v>116</v>
      </c>
      <c r="C105" s="1" t="str">
        <f aca="false">IF(D105="PRE","N/A",
IF(D105="SUP","N/A",
IF(D105="Single-choice",H105,
IF(D105="Single-choice w/ correct",H105,
IF(D105="Series", LEFT(H105,FIND("_",H105)-1) &amp; "_" &amp; MID(H105,FIND("_",H105,FIND("_",H105)+1)+1,999)
)))))</f>
        <v>DKQ3_W127</v>
      </c>
      <c r="D105" s="6" t="s">
        <v>117</v>
      </c>
      <c r="E105" s="7" t="str">
        <f aca="false">IF(D105="PRE","N/A", 
IF(D105="SUP",I105, 
IF(D105="Single-choice",I105, 
IF(D105="Single-choice w/ correct",I105, 
IF(D105="Series", LEFT(I105, FIND("    ",I105)
))))))</f>
        <v>What is a “deepfake”?</v>
      </c>
      <c r="F105" s="8" t="str">
        <f aca="false">IF(D105="PRE",I105,
IF(D105="SUP",I105,
IF(D105="Single-choice","N/A",
IF(D105="Single-choice w/ correct","N/A",
IF(D105="Series", RIGHT(I105, LEN(I105) - FIND("    ",I105)-3
))))))</f>
        <v>N/A</v>
      </c>
      <c r="G105" s="6" t="s">
        <v>56</v>
      </c>
      <c r="H105" s="10" t="s">
        <v>131</v>
      </c>
      <c r="I105" s="9" t="s">
        <v>132</v>
      </c>
      <c r="J105" s="10" t="n">
        <v>2</v>
      </c>
      <c r="K105" s="10" t="s">
        <v>134</v>
      </c>
    </row>
    <row r="106" customFormat="false" ht="15" hidden="false" customHeight="false" outlineLevel="0" collapsed="false">
      <c r="A106" s="1" t="s">
        <v>13</v>
      </c>
      <c r="B106" s="1" t="s">
        <v>116</v>
      </c>
      <c r="C106" s="1" t="str">
        <f aca="false">IF(D106="PRE","N/A",
IF(D106="SUP","N/A",
IF(D106="Single-choice",H106,
IF(D106="Single-choice w/ correct",H106,
IF(D106="Series", LEFT(H106,FIND("_",H106)-1) &amp; "_" &amp; MID(H106,FIND("_",H106,FIND("_",H106)+1)+1,999)
)))))</f>
        <v>DKQ3_W127</v>
      </c>
      <c r="D106" s="6" t="s">
        <v>117</v>
      </c>
      <c r="E106" s="7" t="str">
        <f aca="false">IF(D106="PRE","N/A", 
IF(D106="SUP",I106, 
IF(D106="Single-choice",I106, 
IF(D106="Single-choice w/ correct",I106, 
IF(D106="Series", LEFT(I106, FIND("    ",I106)
))))))</f>
        <v>What is a “deepfake”?</v>
      </c>
      <c r="F106" s="8" t="str">
        <f aca="false">IF(D106="PRE",I106,
IF(D106="SUP",I106,
IF(D106="Single-choice","N/A",
IF(D106="Single-choice w/ correct","N/A",
IF(D106="Series", RIGHT(I106, LEN(I106) - FIND("    ",I106)-3
))))))</f>
        <v>N/A</v>
      </c>
      <c r="G106" s="6" t="s">
        <v>56</v>
      </c>
      <c r="H106" s="10" t="s">
        <v>131</v>
      </c>
      <c r="I106" s="9" t="s">
        <v>132</v>
      </c>
      <c r="J106" s="10" t="n">
        <v>3</v>
      </c>
      <c r="K106" s="10" t="s">
        <v>135</v>
      </c>
    </row>
    <row r="107" customFormat="false" ht="15" hidden="false" customHeight="false" outlineLevel="0" collapsed="false">
      <c r="A107" s="1" t="s">
        <v>13</v>
      </c>
      <c r="B107" s="1" t="s">
        <v>116</v>
      </c>
      <c r="C107" s="1" t="str">
        <f aca="false">IF(D107="PRE","N/A",
IF(D107="SUP","N/A",
IF(D107="Single-choice",H107,
IF(D107="Single-choice w/ correct",H107,
IF(D107="Series", LEFT(H107,FIND("_",H107)-1) &amp; "_" &amp; MID(H107,FIND("_",H107,FIND("_",H107)+1)+1,999)
)))))</f>
        <v>DKQ3_W127</v>
      </c>
      <c r="D107" s="6" t="s">
        <v>117</v>
      </c>
      <c r="E107" s="7" t="str">
        <f aca="false">IF(D107="PRE","N/A", 
IF(D107="SUP",I107, 
IF(D107="Single-choice",I107, 
IF(D107="Single-choice w/ correct",I107, 
IF(D107="Series", LEFT(I107, FIND("    ",I107)
))))))</f>
        <v>What is a “deepfake”?</v>
      </c>
      <c r="F107" s="8" t="str">
        <f aca="false">IF(D107="PRE",I107,
IF(D107="SUP",I107,
IF(D107="Single-choice","N/A",
IF(D107="Single-choice w/ correct","N/A",
IF(D107="Series", RIGHT(I107, LEN(I107) - FIND("    ",I107)-3
))))))</f>
        <v>N/A</v>
      </c>
      <c r="G107" s="6" t="s">
        <v>56</v>
      </c>
      <c r="H107" s="10" t="s">
        <v>131</v>
      </c>
      <c r="I107" s="9" t="s">
        <v>132</v>
      </c>
      <c r="J107" s="10" t="n">
        <v>4</v>
      </c>
      <c r="K107" s="10" t="s">
        <v>136</v>
      </c>
    </row>
    <row r="108" customFormat="false" ht="15" hidden="false" customHeight="false" outlineLevel="0" collapsed="false">
      <c r="A108" s="1" t="s">
        <v>13</v>
      </c>
      <c r="B108" s="1" t="s">
        <v>116</v>
      </c>
      <c r="C108" s="1" t="str">
        <f aca="false">IF(D108="PRE","N/A",
IF(D108="SUP","N/A",
IF(D108="Single-choice",H108,
IF(D108="Single-choice w/ correct",H108,
IF(D108="Series", LEFT(H108,FIND("_",H108)-1) &amp; "_" &amp; MID(H108,FIND("_",H108,FIND("_",H108)+1)+1,999)
)))))</f>
        <v>DKQ3_W127</v>
      </c>
      <c r="D108" s="6" t="s">
        <v>117</v>
      </c>
      <c r="E108" s="7" t="str">
        <f aca="false">IF(D108="PRE","N/A", 
IF(D108="SUP",I108, 
IF(D108="Single-choice",I108, 
IF(D108="Single-choice w/ correct",I108, 
IF(D108="Series", LEFT(I108, FIND("    ",I108)
))))))</f>
        <v>What is a “deepfake”?</v>
      </c>
      <c r="F108" s="8" t="str">
        <f aca="false">IF(D108="PRE",I108,
IF(D108="SUP",I108,
IF(D108="Single-choice","N/A",
IF(D108="Single-choice w/ correct","N/A",
IF(D108="Series", RIGHT(I108, LEN(I108) - FIND("    ",I108)-3
))))))</f>
        <v>N/A</v>
      </c>
      <c r="G108" s="6" t="s">
        <v>56</v>
      </c>
      <c r="H108" s="10" t="s">
        <v>131</v>
      </c>
      <c r="I108" s="9" t="s">
        <v>132</v>
      </c>
      <c r="J108" s="10" t="n">
        <v>5</v>
      </c>
      <c r="K108" s="10" t="s">
        <v>124</v>
      </c>
    </row>
    <row r="109" customFormat="false" ht="15" hidden="false" customHeight="false" outlineLevel="0" collapsed="false">
      <c r="A109" s="1" t="s">
        <v>13</v>
      </c>
      <c r="B109" s="1" t="s">
        <v>116</v>
      </c>
      <c r="C109" s="1" t="str">
        <f aca="false">IF(D109="PRE","N/A",
IF(D109="SUP","N/A",
IF(D109="Single-choice",H109,
IF(D109="Single-choice w/ correct",H109,
IF(D109="Series", LEFT(H109,FIND("_",H109)-1) &amp; "_" &amp; MID(H109,FIND("_",H109,FIND("_",H109)+1)+1,999)
)))))</f>
        <v>DKQ3_W127</v>
      </c>
      <c r="D109" s="6" t="s">
        <v>117</v>
      </c>
      <c r="E109" s="7" t="str">
        <f aca="false">IF(D109="PRE","N/A", 
IF(D109="SUP",I109, 
IF(D109="Single-choice",I109, 
IF(D109="Single-choice w/ correct",I109, 
IF(D109="Series", LEFT(I109, FIND("    ",I109)
))))))</f>
        <v>What is a “deepfake”?</v>
      </c>
      <c r="F109" s="8" t="str">
        <f aca="false">IF(D109="PRE",I109,
IF(D109="SUP",I109,
IF(D109="Single-choice","N/A",
IF(D109="Single-choice w/ correct","N/A",
IF(D109="Series", RIGHT(I109, LEN(I109) - FIND("    ",I109)-3
))))))</f>
        <v>N/A</v>
      </c>
      <c r="G109" s="6" t="s">
        <v>56</v>
      </c>
      <c r="H109" s="10" t="s">
        <v>131</v>
      </c>
      <c r="I109" s="9" t="s">
        <v>132</v>
      </c>
      <c r="J109" s="10" t="n">
        <v>99</v>
      </c>
      <c r="K109" s="10" t="s">
        <v>64</v>
      </c>
    </row>
    <row r="110" customFormat="false" ht="15" hidden="false" customHeight="true" outlineLevel="0" collapsed="false">
      <c r="A110" s="1" t="s">
        <v>13</v>
      </c>
      <c r="B110" s="1" t="s">
        <v>116</v>
      </c>
      <c r="C110" s="1" t="str">
        <f aca="false">IF(D110="PRE","N/A",
IF(D110="SUP","N/A",
IF(D110="Single-choice",H110,
IF(D110="Single-choice w/ correct",H110,
IF(D110="Series", LEFT(H110,FIND("_",H110)-1) &amp; "_" &amp; MID(H110,FIND("_",H110,FIND("_",H110)+1)+1,999)
)))))</f>
        <v>DKQ4_W127</v>
      </c>
      <c r="D110" s="6" t="s">
        <v>117</v>
      </c>
      <c r="E110" s="7" t="str">
        <f aca="false">IF(D110="PRE","N/A", 
IF(D110="SUP",I110, 
IF(D110="Single-choice",I110, 
IF(D110="Single-choice w/ correct",I110, 
IF(D110="Series", LEFT(I110, FIND("    ",I110)
))))))</f>
        <v>In 2021, Facebook changed its company name to…</v>
      </c>
      <c r="F110" s="8" t="str">
        <f aca="false">IF(D110="PRE",I110,
IF(D110="SUP",I110,
IF(D110="Single-choice","N/A",
IF(D110="Single-choice w/ correct","N/A",
IF(D110="Series", RIGHT(I110, LEN(I110) - FIND("    ",I110)-3
))))))</f>
        <v>N/A</v>
      </c>
      <c r="G110" s="6" t="s">
        <v>56</v>
      </c>
      <c r="H110" s="6" t="s">
        <v>137</v>
      </c>
      <c r="I110" s="9" t="s">
        <v>138</v>
      </c>
      <c r="J110" s="6" t="n">
        <v>1</v>
      </c>
      <c r="K110" s="6" t="s">
        <v>139</v>
      </c>
    </row>
    <row r="111" customFormat="false" ht="15" hidden="false" customHeight="false" outlineLevel="0" collapsed="false">
      <c r="A111" s="1" t="s">
        <v>13</v>
      </c>
      <c r="B111" s="1" t="s">
        <v>116</v>
      </c>
      <c r="C111" s="1" t="str">
        <f aca="false">IF(D111="PRE","N/A",
IF(D111="SUP","N/A",
IF(D111="Single-choice",H111,
IF(D111="Single-choice w/ correct",H111,
IF(D111="Series", LEFT(H111,FIND("_",H111)-1) &amp; "_" &amp; MID(H111,FIND("_",H111,FIND("_",H111)+1)+1,999)
)))))</f>
        <v>DKQ4_W127</v>
      </c>
      <c r="D111" s="6" t="s">
        <v>117</v>
      </c>
      <c r="E111" s="7" t="str">
        <f aca="false">IF(D111="PRE","N/A", 
IF(D111="SUP",I111, 
IF(D111="Single-choice",I111, 
IF(D111="Single-choice w/ correct",I111, 
IF(D111="Series", LEFT(I111, FIND("    ",I111)
))))))</f>
        <v>In 2021, Facebook changed its company name to…</v>
      </c>
      <c r="F111" s="8" t="str">
        <f aca="false">IF(D111="PRE",I111,
IF(D111="SUP",I111,
IF(D111="Single-choice","N/A",
IF(D111="Single-choice w/ correct","N/A",
IF(D111="Series", RIGHT(I111, LEN(I111) - FIND("    ",I111)-3
))))))</f>
        <v>N/A</v>
      </c>
      <c r="G111" s="6" t="s">
        <v>56</v>
      </c>
      <c r="H111" s="10" t="s">
        <v>137</v>
      </c>
      <c r="I111" s="9" t="s">
        <v>138</v>
      </c>
      <c r="J111" s="10" t="n">
        <v>2</v>
      </c>
      <c r="K111" s="10" t="s">
        <v>140</v>
      </c>
    </row>
    <row r="112" customFormat="false" ht="15" hidden="false" customHeight="false" outlineLevel="0" collapsed="false">
      <c r="A112" s="1" t="s">
        <v>13</v>
      </c>
      <c r="B112" s="1" t="s">
        <v>116</v>
      </c>
      <c r="C112" s="1" t="str">
        <f aca="false">IF(D112="PRE","N/A",
IF(D112="SUP","N/A",
IF(D112="Single-choice",H112,
IF(D112="Single-choice w/ correct",H112,
IF(D112="Series", LEFT(H112,FIND("_",H112)-1) &amp; "_" &amp; MID(H112,FIND("_",H112,FIND("_",H112)+1)+1,999)
)))))</f>
        <v>DKQ4_W127</v>
      </c>
      <c r="D112" s="6" t="s">
        <v>117</v>
      </c>
      <c r="E112" s="7" t="str">
        <f aca="false">IF(D112="PRE","N/A", 
IF(D112="SUP",I112, 
IF(D112="Single-choice",I112, 
IF(D112="Single-choice w/ correct",I112, 
IF(D112="Series", LEFT(I112, FIND("    ",I112)
))))))</f>
        <v>In 2021, Facebook changed its company name to…</v>
      </c>
      <c r="F112" s="8" t="str">
        <f aca="false">IF(D112="PRE",I112,
IF(D112="SUP",I112,
IF(D112="Single-choice","N/A",
IF(D112="Single-choice w/ correct","N/A",
IF(D112="Series", RIGHT(I112, LEN(I112) - FIND("    ",I112)-3
))))))</f>
        <v>N/A</v>
      </c>
      <c r="G112" s="6" t="s">
        <v>56</v>
      </c>
      <c r="H112" s="10" t="s">
        <v>137</v>
      </c>
      <c r="I112" s="9" t="s">
        <v>138</v>
      </c>
      <c r="J112" s="10" t="n">
        <v>3</v>
      </c>
      <c r="K112" s="10" t="s">
        <v>141</v>
      </c>
    </row>
    <row r="113" customFormat="false" ht="15" hidden="false" customHeight="false" outlineLevel="0" collapsed="false">
      <c r="A113" s="1" t="s">
        <v>13</v>
      </c>
      <c r="B113" s="1" t="s">
        <v>116</v>
      </c>
      <c r="C113" s="1" t="str">
        <f aca="false">IF(D113="PRE","N/A",
IF(D113="SUP","N/A",
IF(D113="Single-choice",H113,
IF(D113="Single-choice w/ correct",H113,
IF(D113="Series", LEFT(H113,FIND("_",H113)-1) &amp; "_" &amp; MID(H113,FIND("_",H113,FIND("_",H113)+1)+1,999)
)))))</f>
        <v>DKQ4_W127</v>
      </c>
      <c r="D113" s="6" t="s">
        <v>117</v>
      </c>
      <c r="E113" s="7" t="str">
        <f aca="false">IF(D113="PRE","N/A", 
IF(D113="SUP",I113, 
IF(D113="Single-choice",I113, 
IF(D113="Single-choice w/ correct",I113, 
IF(D113="Series", LEFT(I113, FIND("    ",I113)
))))))</f>
        <v>In 2021, Facebook changed its company name to…</v>
      </c>
      <c r="F113" s="8" t="str">
        <f aca="false">IF(D113="PRE",I113,
IF(D113="SUP",I113,
IF(D113="Single-choice","N/A",
IF(D113="Single-choice w/ correct","N/A",
IF(D113="Series", RIGHT(I113, LEN(I113) - FIND("    ",I113)-3
))))))</f>
        <v>N/A</v>
      </c>
      <c r="G113" s="6" t="s">
        <v>56</v>
      </c>
      <c r="H113" s="10" t="s">
        <v>137</v>
      </c>
      <c r="I113" s="9" t="s">
        <v>138</v>
      </c>
      <c r="J113" s="10" t="n">
        <v>4</v>
      </c>
      <c r="K113" s="10" t="s">
        <v>142</v>
      </c>
    </row>
    <row r="114" customFormat="false" ht="15" hidden="false" customHeight="false" outlineLevel="0" collapsed="false">
      <c r="A114" s="1" t="s">
        <v>13</v>
      </c>
      <c r="B114" s="1" t="s">
        <v>116</v>
      </c>
      <c r="C114" s="1" t="str">
        <f aca="false">IF(D114="PRE","N/A",
IF(D114="SUP","N/A",
IF(D114="Single-choice",H114,
IF(D114="Single-choice w/ correct",H114,
IF(D114="Series", LEFT(H114,FIND("_",H114)-1) &amp; "_" &amp; MID(H114,FIND("_",H114,FIND("_",H114)+1)+1,999)
)))))</f>
        <v>DKQ4_W127</v>
      </c>
      <c r="D114" s="6" t="s">
        <v>117</v>
      </c>
      <c r="E114" s="7" t="str">
        <f aca="false">IF(D114="PRE","N/A", 
IF(D114="SUP",I114, 
IF(D114="Single-choice",I114, 
IF(D114="Single-choice w/ correct",I114, 
IF(D114="Series", LEFT(I114, FIND("    ",I114)
))))))</f>
        <v>In 2021, Facebook changed its company name to…</v>
      </c>
      <c r="F114" s="8" t="str">
        <f aca="false">IF(D114="PRE",I114,
IF(D114="SUP",I114,
IF(D114="Single-choice","N/A",
IF(D114="Single-choice w/ correct","N/A",
IF(D114="Series", RIGHT(I114, LEN(I114) - FIND("    ",I114)-3
))))))</f>
        <v>N/A</v>
      </c>
      <c r="G114" s="6" t="s">
        <v>56</v>
      </c>
      <c r="H114" s="10" t="s">
        <v>137</v>
      </c>
      <c r="I114" s="9" t="s">
        <v>138</v>
      </c>
      <c r="J114" s="10" t="n">
        <v>5</v>
      </c>
      <c r="K114" s="10" t="s">
        <v>124</v>
      </c>
    </row>
    <row r="115" customFormat="false" ht="15" hidden="false" customHeight="false" outlineLevel="0" collapsed="false">
      <c r="A115" s="1" t="s">
        <v>13</v>
      </c>
      <c r="B115" s="1" t="s">
        <v>116</v>
      </c>
      <c r="C115" s="1" t="str">
        <f aca="false">IF(D115="PRE","N/A",
IF(D115="SUP","N/A",
IF(D115="Single-choice",H115,
IF(D115="Single-choice w/ correct",H115,
IF(D115="Series", LEFT(H115,FIND("_",H115)-1) &amp; "_" &amp; MID(H115,FIND("_",H115,FIND("_",H115)+1)+1,999)
)))))</f>
        <v>DKQ4_W127</v>
      </c>
      <c r="D115" s="6" t="s">
        <v>117</v>
      </c>
      <c r="E115" s="7" t="str">
        <f aca="false">IF(D115="PRE","N/A", 
IF(D115="SUP",I115, 
IF(D115="Single-choice",I115, 
IF(D115="Single-choice w/ correct",I115, 
IF(D115="Series", LEFT(I115, FIND("    ",I115)
))))))</f>
        <v>In 2021, Facebook changed its company name to…</v>
      </c>
      <c r="F115" s="8" t="str">
        <f aca="false">IF(D115="PRE",I115,
IF(D115="SUP",I115,
IF(D115="Single-choice","N/A",
IF(D115="Single-choice w/ correct","N/A",
IF(D115="Series", RIGHT(I115, LEN(I115) - FIND("    ",I115)-3
))))))</f>
        <v>N/A</v>
      </c>
      <c r="G115" s="6" t="s">
        <v>56</v>
      </c>
      <c r="H115" s="10" t="s">
        <v>137</v>
      </c>
      <c r="I115" s="9" t="s">
        <v>138</v>
      </c>
      <c r="J115" s="10" t="n">
        <v>99</v>
      </c>
      <c r="K115" s="10" t="s">
        <v>64</v>
      </c>
    </row>
    <row r="116" customFormat="false" ht="15" hidden="false" customHeight="true" outlineLevel="0" collapsed="false">
      <c r="A116" s="1" t="s">
        <v>13</v>
      </c>
      <c r="B116" s="1" t="s">
        <v>116</v>
      </c>
      <c r="C116" s="1" t="str">
        <f aca="false">IF(D116="PRE","N/A",
IF(D116="SUP","N/A",
IF(D116="Single-choice",H116,
IF(D116="Single-choice w/ correct",H116,
IF(D116="Series", LEFT(H116,FIND("_",H116)-1) &amp; "_" &amp; MID(H116,FIND("_",H116,FIND("_",H116)+1)+1,999)
)))))</f>
        <v>DKQ5_W127</v>
      </c>
      <c r="D116" s="6" t="s">
        <v>117</v>
      </c>
      <c r="E116" s="7" t="str">
        <f aca="false">IF(D116="PRE","N/A", 
IF(D116="SUP",I116, 
IF(D116="Single-choice",I116, 
IF(D116="Single-choice w/ correct",I116, 
IF(D116="Series", LEFT(I116, FIND("    ",I116)
))))))</f>
        <v>Which of the following passwords is the most secure?</v>
      </c>
      <c r="F116" s="8" t="str">
        <f aca="false">IF(D116="PRE",I116,
IF(D116="SUP",I116,
IF(D116="Single-choice","N/A",
IF(D116="Single-choice w/ correct","N/A",
IF(D116="Series", RIGHT(I116, LEN(I116) - FIND("    ",I116)-3
))))))</f>
        <v>N/A</v>
      </c>
      <c r="G116" s="6" t="s">
        <v>56</v>
      </c>
      <c r="H116" s="6" t="s">
        <v>143</v>
      </c>
      <c r="I116" s="9" t="s">
        <v>144</v>
      </c>
      <c r="J116" s="6" t="n">
        <v>1</v>
      </c>
      <c r="K116" s="6" t="s">
        <v>145</v>
      </c>
    </row>
    <row r="117" customFormat="false" ht="15" hidden="false" customHeight="false" outlineLevel="0" collapsed="false">
      <c r="A117" s="1" t="s">
        <v>13</v>
      </c>
      <c r="B117" s="1" t="s">
        <v>116</v>
      </c>
      <c r="C117" s="1" t="str">
        <f aca="false">IF(D117="PRE","N/A",
IF(D117="SUP","N/A",
IF(D117="Single-choice",H117,
IF(D117="Single-choice w/ correct",H117,
IF(D117="Series", LEFT(H117,FIND("_",H117)-1) &amp; "_" &amp; MID(H117,FIND("_",H117,FIND("_",H117)+1)+1,999)
)))))</f>
        <v>DKQ5_W127</v>
      </c>
      <c r="D117" s="6" t="s">
        <v>117</v>
      </c>
      <c r="E117" s="7" t="str">
        <f aca="false">IF(D117="PRE","N/A", 
IF(D117="SUP",I117, 
IF(D117="Single-choice",I117, 
IF(D117="Single-choice w/ correct",I117, 
IF(D117="Series", LEFT(I117, FIND("    ",I117)
))))))</f>
        <v>Which of the following passwords is the most secure?</v>
      </c>
      <c r="F117" s="8" t="str">
        <f aca="false">IF(D117="PRE",I117,
IF(D117="SUP",I117,
IF(D117="Single-choice","N/A",
IF(D117="Single-choice w/ correct","N/A",
IF(D117="Series", RIGHT(I117, LEN(I117) - FIND("    ",I117)-3
))))))</f>
        <v>N/A</v>
      </c>
      <c r="G117" s="6" t="s">
        <v>56</v>
      </c>
      <c r="H117" s="10" t="s">
        <v>143</v>
      </c>
      <c r="I117" s="9" t="s">
        <v>144</v>
      </c>
      <c r="J117" s="10" t="n">
        <v>2</v>
      </c>
      <c r="K117" s="10" t="s">
        <v>146</v>
      </c>
    </row>
    <row r="118" customFormat="false" ht="15" hidden="false" customHeight="false" outlineLevel="0" collapsed="false">
      <c r="A118" s="1" t="s">
        <v>13</v>
      </c>
      <c r="B118" s="1" t="s">
        <v>116</v>
      </c>
      <c r="C118" s="1" t="str">
        <f aca="false">IF(D118="PRE","N/A",
IF(D118="SUP","N/A",
IF(D118="Single-choice",H118,
IF(D118="Single-choice w/ correct",H118,
IF(D118="Series", LEFT(H118,FIND("_",H118)-1) &amp; "_" &amp; MID(H118,FIND("_",H118,FIND("_",H118)+1)+1,999)
)))))</f>
        <v>DKQ5_W127</v>
      </c>
      <c r="D118" s="6" t="s">
        <v>117</v>
      </c>
      <c r="E118" s="7" t="str">
        <f aca="false">IF(D118="PRE","N/A", 
IF(D118="SUP",I118, 
IF(D118="Single-choice",I118, 
IF(D118="Single-choice w/ correct",I118, 
IF(D118="Series", LEFT(I118, FIND("    ",I118)
))))))</f>
        <v>Which of the following passwords is the most secure?</v>
      </c>
      <c r="F118" s="8" t="str">
        <f aca="false">IF(D118="PRE",I118,
IF(D118="SUP",I118,
IF(D118="Single-choice","N/A",
IF(D118="Single-choice w/ correct","N/A",
IF(D118="Series", RIGHT(I118, LEN(I118) - FIND("    ",I118)-3
))))))</f>
        <v>N/A</v>
      </c>
      <c r="G118" s="6" t="s">
        <v>56</v>
      </c>
      <c r="H118" s="10" t="s">
        <v>143</v>
      </c>
      <c r="I118" s="9" t="s">
        <v>144</v>
      </c>
      <c r="J118" s="10" t="n">
        <v>3</v>
      </c>
      <c r="K118" s="10" t="s">
        <v>147</v>
      </c>
    </row>
    <row r="119" customFormat="false" ht="15" hidden="false" customHeight="false" outlineLevel="0" collapsed="false">
      <c r="A119" s="1" t="s">
        <v>13</v>
      </c>
      <c r="B119" s="1" t="s">
        <v>116</v>
      </c>
      <c r="C119" s="1" t="str">
        <f aca="false">IF(D119="PRE","N/A",
IF(D119="SUP","N/A",
IF(D119="Single-choice",H119,
IF(D119="Single-choice w/ correct",H119,
IF(D119="Series", LEFT(H119,FIND("_",H119)-1) &amp; "_" &amp; MID(H119,FIND("_",H119,FIND("_",H119)+1)+1,999)
)))))</f>
        <v>DKQ5_W127</v>
      </c>
      <c r="D119" s="6" t="s">
        <v>117</v>
      </c>
      <c r="E119" s="7" t="str">
        <f aca="false">IF(D119="PRE","N/A", 
IF(D119="SUP",I119, 
IF(D119="Single-choice",I119, 
IF(D119="Single-choice w/ correct",I119, 
IF(D119="Series", LEFT(I119, FIND("    ",I119)
))))))</f>
        <v>Which of the following passwords is the most secure?</v>
      </c>
      <c r="F119" s="8" t="str">
        <f aca="false">IF(D119="PRE",I119,
IF(D119="SUP",I119,
IF(D119="Single-choice","N/A",
IF(D119="Single-choice w/ correct","N/A",
IF(D119="Series", RIGHT(I119, LEN(I119) - FIND("    ",I119)-3
))))))</f>
        <v>N/A</v>
      </c>
      <c r="G119" s="6" t="s">
        <v>56</v>
      </c>
      <c r="H119" s="10" t="s">
        <v>143</v>
      </c>
      <c r="I119" s="9" t="s">
        <v>144</v>
      </c>
      <c r="J119" s="10" t="n">
        <v>4</v>
      </c>
      <c r="K119" s="10" t="s">
        <v>148</v>
      </c>
    </row>
    <row r="120" customFormat="false" ht="15" hidden="false" customHeight="false" outlineLevel="0" collapsed="false">
      <c r="A120" s="1" t="s">
        <v>13</v>
      </c>
      <c r="B120" s="1" t="s">
        <v>116</v>
      </c>
      <c r="C120" s="1" t="str">
        <f aca="false">IF(D120="PRE","N/A",
IF(D120="SUP","N/A",
IF(D120="Single-choice",H120,
IF(D120="Single-choice w/ correct",H120,
IF(D120="Series", LEFT(H120,FIND("_",H120)-1) &amp; "_" &amp; MID(H120,FIND("_",H120,FIND("_",H120)+1)+1,999)
)))))</f>
        <v>DKQ5_W127</v>
      </c>
      <c r="D120" s="6" t="s">
        <v>117</v>
      </c>
      <c r="E120" s="7" t="str">
        <f aca="false">IF(D120="PRE","N/A", 
IF(D120="SUP",I120, 
IF(D120="Single-choice",I120, 
IF(D120="Single-choice w/ correct",I120, 
IF(D120="Series", LEFT(I120, FIND("    ",I120)
))))))</f>
        <v>Which of the following passwords is the most secure?</v>
      </c>
      <c r="F120" s="8" t="str">
        <f aca="false">IF(D120="PRE",I120,
IF(D120="SUP",I120,
IF(D120="Single-choice","N/A",
IF(D120="Single-choice w/ correct","N/A",
IF(D120="Series", RIGHT(I120, LEN(I120) - FIND("    ",I120)-3
))))))</f>
        <v>N/A</v>
      </c>
      <c r="G120" s="6" t="s">
        <v>56</v>
      </c>
      <c r="H120" s="10" t="s">
        <v>143</v>
      </c>
      <c r="I120" s="9" t="s">
        <v>144</v>
      </c>
      <c r="J120" s="10" t="n">
        <v>5</v>
      </c>
      <c r="K120" s="10" t="s">
        <v>124</v>
      </c>
    </row>
    <row r="121" customFormat="false" ht="15" hidden="false" customHeight="false" outlineLevel="0" collapsed="false">
      <c r="A121" s="1" t="s">
        <v>13</v>
      </c>
      <c r="B121" s="1" t="s">
        <v>116</v>
      </c>
      <c r="C121" s="1" t="str">
        <f aca="false">IF(D121="PRE","N/A",
IF(D121="SUP","N/A",
IF(D121="Single-choice",H121,
IF(D121="Single-choice w/ correct",H121,
IF(D121="Series", LEFT(H121,FIND("_",H121)-1) &amp; "_" &amp; MID(H121,FIND("_",H121,FIND("_",H121)+1)+1,999)
)))))</f>
        <v>DKQ5_W127</v>
      </c>
      <c r="D121" s="6" t="s">
        <v>117</v>
      </c>
      <c r="E121" s="7" t="str">
        <f aca="false">IF(D121="PRE","N/A", 
IF(D121="SUP",I121, 
IF(D121="Single-choice",I121, 
IF(D121="Single-choice w/ correct",I121, 
IF(D121="Series", LEFT(I121, FIND("    ",I121)
))))))</f>
        <v>Which of the following passwords is the most secure?</v>
      </c>
      <c r="F121" s="8" t="str">
        <f aca="false">IF(D121="PRE",I121,
IF(D121="SUP",I121,
IF(D121="Single-choice","N/A",
IF(D121="Single-choice w/ correct","N/A",
IF(D121="Series", RIGHT(I121, LEN(I121) - FIND("    ",I121)-3
))))))</f>
        <v>N/A</v>
      </c>
      <c r="G121" s="6" t="s">
        <v>56</v>
      </c>
      <c r="H121" s="10" t="s">
        <v>143</v>
      </c>
      <c r="I121" s="9" t="s">
        <v>144</v>
      </c>
      <c r="J121" s="10" t="n">
        <v>99</v>
      </c>
      <c r="K121" s="10" t="s">
        <v>64</v>
      </c>
    </row>
    <row r="122" customFormat="false" ht="15" hidden="false" customHeight="true" outlineLevel="0" collapsed="false">
      <c r="A122" s="1" t="s">
        <v>13</v>
      </c>
      <c r="B122" s="1" t="s">
        <v>116</v>
      </c>
      <c r="C122" s="1" t="str">
        <f aca="false">IF(D122="PRE","N/A",
IF(D122="SUP","N/A",
IF(D122="Single-choice",H122,
IF(D122="Single-choice w/ correct",H122,
IF(D122="Series", LEFT(H122,FIND("_",H122)-1) &amp; "_" &amp; MID(H122,FIND("_",H122,FIND("_",H122)+1)+1,999)
)))))</f>
        <v>DKQ7_W127</v>
      </c>
      <c r="D122" s="6" t="s">
        <v>117</v>
      </c>
      <c r="E122" s="7" t="str">
        <f aca="false">IF(D122="PRE","N/A", 
IF(D122="SUP",I122, 
IF(D122="Single-choice",I122, 
IF(D122="Single-choice w/ correct",I122, 
IF(D122="Series", LEFT(I122, FIND("    ",I122)
))))))</f>
        <v>How do large language models, such as ChatGPT, come up with answers to questions users submit?</v>
      </c>
      <c r="F122" s="8" t="str">
        <f aca="false">IF(D122="PRE",I122,
IF(D122="SUP",I122,
IF(D122="Single-choice","N/A",
IF(D122="Single-choice w/ correct","N/A",
IF(D122="Series", RIGHT(I122, LEN(I122) - FIND("    ",I122)-3
))))))</f>
        <v>N/A</v>
      </c>
      <c r="G122" s="6" t="s">
        <v>56</v>
      </c>
      <c r="H122" s="6" t="s">
        <v>149</v>
      </c>
      <c r="I122" s="9" t="s">
        <v>150</v>
      </c>
      <c r="J122" s="6" t="n">
        <v>1</v>
      </c>
      <c r="K122" s="6" t="s">
        <v>151</v>
      </c>
    </row>
    <row r="123" customFormat="false" ht="23.3" hidden="false" customHeight="false" outlineLevel="0" collapsed="false">
      <c r="A123" s="1" t="s">
        <v>13</v>
      </c>
      <c r="B123" s="1" t="s">
        <v>116</v>
      </c>
      <c r="C123" s="1" t="str">
        <f aca="false">IF(D123="PRE","N/A",
IF(D123="SUP","N/A",
IF(D123="Single-choice",H123,
IF(D123="Single-choice w/ correct",H123,
IF(D123="Series", LEFT(H123,FIND("_",H123)-1) &amp; "_" &amp; MID(H123,FIND("_",H123,FIND("_",H123)+1)+1,999)
)))))</f>
        <v>DKQ7_W127</v>
      </c>
      <c r="D123" s="6" t="s">
        <v>117</v>
      </c>
      <c r="E123" s="7" t="str">
        <f aca="false">IF(D123="PRE","N/A", 
IF(D123="SUP",I123, 
IF(D123="Single-choice",I123, 
IF(D123="Single-choice w/ correct",I123, 
IF(D123="Series", LEFT(I123, FIND("    ",I123)
))))))</f>
        <v>How do large language models, such as ChatGPT, come up with answers to questions users submit?</v>
      </c>
      <c r="F123" s="8" t="str">
        <f aca="false">IF(D123="PRE",I123,
IF(D123="SUP",I123,
IF(D123="Single-choice","N/A",
IF(D123="Single-choice w/ correct","N/A",
IF(D123="Series", RIGHT(I123, LEN(I123) - FIND("    ",I123)-3
))))))</f>
        <v>N/A</v>
      </c>
      <c r="G123" s="6" t="s">
        <v>56</v>
      </c>
      <c r="H123" s="10" t="s">
        <v>149</v>
      </c>
      <c r="I123" s="9" t="s">
        <v>150</v>
      </c>
      <c r="J123" s="10" t="n">
        <v>2</v>
      </c>
      <c r="K123" s="10" t="s">
        <v>152</v>
      </c>
    </row>
    <row r="124" customFormat="false" ht="23.3" hidden="false" customHeight="false" outlineLevel="0" collapsed="false">
      <c r="A124" s="1" t="s">
        <v>13</v>
      </c>
      <c r="B124" s="1" t="s">
        <v>116</v>
      </c>
      <c r="C124" s="1" t="str">
        <f aca="false">IF(D124="PRE","N/A",
IF(D124="SUP","N/A",
IF(D124="Single-choice",H124,
IF(D124="Single-choice w/ correct",H124,
IF(D124="Series", LEFT(H124,FIND("_",H124)-1) &amp; "_" &amp; MID(H124,FIND("_",H124,FIND("_",H124)+1)+1,999)
)))))</f>
        <v>DKQ7_W127</v>
      </c>
      <c r="D124" s="6" t="s">
        <v>117</v>
      </c>
      <c r="E124" s="7" t="str">
        <f aca="false">IF(D124="PRE","N/A", 
IF(D124="SUP",I124, 
IF(D124="Single-choice",I124, 
IF(D124="Single-choice w/ correct",I124, 
IF(D124="Series", LEFT(I124, FIND("    ",I124)
))))))</f>
        <v>How do large language models, such as ChatGPT, come up with answers to questions users submit?</v>
      </c>
      <c r="F124" s="8" t="str">
        <f aca="false">IF(D124="PRE",I124,
IF(D124="SUP",I124,
IF(D124="Single-choice","N/A",
IF(D124="Single-choice w/ correct","N/A",
IF(D124="Series", RIGHT(I124, LEN(I124) - FIND("    ",I124)-3
))))))</f>
        <v>N/A</v>
      </c>
      <c r="G124" s="6" t="s">
        <v>56</v>
      </c>
      <c r="H124" s="10" t="s">
        <v>149</v>
      </c>
      <c r="I124" s="9" t="s">
        <v>150</v>
      </c>
      <c r="J124" s="10" t="n">
        <v>3</v>
      </c>
      <c r="K124" s="10" t="s">
        <v>153</v>
      </c>
    </row>
    <row r="125" customFormat="false" ht="23.3" hidden="false" customHeight="false" outlineLevel="0" collapsed="false">
      <c r="A125" s="1" t="s">
        <v>13</v>
      </c>
      <c r="B125" s="1" t="s">
        <v>116</v>
      </c>
      <c r="C125" s="1" t="str">
        <f aca="false">IF(D125="PRE","N/A",
IF(D125="SUP","N/A",
IF(D125="Single-choice",H125,
IF(D125="Single-choice w/ correct",H125,
IF(D125="Series", LEFT(H125,FIND("_",H125)-1) &amp; "_" &amp; MID(H125,FIND("_",H125,FIND("_",H125)+1)+1,999)
)))))</f>
        <v>DKQ7_W127</v>
      </c>
      <c r="D125" s="6" t="s">
        <v>117</v>
      </c>
      <c r="E125" s="7" t="str">
        <f aca="false">IF(D125="PRE","N/A", 
IF(D125="SUP",I125, 
IF(D125="Single-choice",I125, 
IF(D125="Single-choice w/ correct",I125, 
IF(D125="Series", LEFT(I125, FIND("    ",I125)
))))))</f>
        <v>How do large language models, such as ChatGPT, come up with answers to questions users submit?</v>
      </c>
      <c r="F125" s="8" t="str">
        <f aca="false">IF(D125="PRE",I125,
IF(D125="SUP",I125,
IF(D125="Single-choice","N/A",
IF(D125="Single-choice w/ correct","N/A",
IF(D125="Series", RIGHT(I125, LEN(I125) - FIND("    ",I125)-3
))))))</f>
        <v>N/A</v>
      </c>
      <c r="G125" s="6" t="s">
        <v>56</v>
      </c>
      <c r="H125" s="10" t="s">
        <v>149</v>
      </c>
      <c r="I125" s="9" t="s">
        <v>150</v>
      </c>
      <c r="J125" s="10" t="n">
        <v>4</v>
      </c>
      <c r="K125" s="10" t="s">
        <v>154</v>
      </c>
    </row>
    <row r="126" customFormat="false" ht="23.3" hidden="false" customHeight="false" outlineLevel="0" collapsed="false">
      <c r="A126" s="1" t="s">
        <v>13</v>
      </c>
      <c r="B126" s="1" t="s">
        <v>116</v>
      </c>
      <c r="C126" s="1" t="str">
        <f aca="false">IF(D126="PRE","N/A",
IF(D126="SUP","N/A",
IF(D126="Single-choice",H126,
IF(D126="Single-choice w/ correct",H126,
IF(D126="Series", LEFT(H126,FIND("_",H126)-1) &amp; "_" &amp; MID(H126,FIND("_",H126,FIND("_",H126)+1)+1,999)
)))))</f>
        <v>DKQ7_W127</v>
      </c>
      <c r="D126" s="6" t="s">
        <v>117</v>
      </c>
      <c r="E126" s="7" t="str">
        <f aca="false">IF(D126="PRE","N/A", 
IF(D126="SUP",I126, 
IF(D126="Single-choice",I126, 
IF(D126="Single-choice w/ correct",I126, 
IF(D126="Series", LEFT(I126, FIND("    ",I126)
))))))</f>
        <v>How do large language models, such as ChatGPT, come up with answers to questions users submit?</v>
      </c>
      <c r="F126" s="8" t="str">
        <f aca="false">IF(D126="PRE",I126,
IF(D126="SUP",I126,
IF(D126="Single-choice","N/A",
IF(D126="Single-choice w/ correct","N/A",
IF(D126="Series", RIGHT(I126, LEN(I126) - FIND("    ",I126)-3
))))))</f>
        <v>N/A</v>
      </c>
      <c r="G126" s="6" t="s">
        <v>56</v>
      </c>
      <c r="H126" s="10" t="s">
        <v>149</v>
      </c>
      <c r="I126" s="9" t="s">
        <v>150</v>
      </c>
      <c r="J126" s="10" t="n">
        <v>5</v>
      </c>
      <c r="K126" s="10" t="s">
        <v>124</v>
      </c>
    </row>
    <row r="127" customFormat="false" ht="23.3" hidden="false" customHeight="false" outlineLevel="0" collapsed="false">
      <c r="A127" s="1" t="s">
        <v>13</v>
      </c>
      <c r="B127" s="1" t="s">
        <v>116</v>
      </c>
      <c r="C127" s="1" t="str">
        <f aca="false">IF(D127="PRE","N/A",
IF(D127="SUP","N/A",
IF(D127="Single-choice",H127,
IF(D127="Single-choice w/ correct",H127,
IF(D127="Series", LEFT(H127,FIND("_",H127)-1) &amp; "_" &amp; MID(H127,FIND("_",H127,FIND("_",H127)+1)+1,999)
)))))</f>
        <v>DKQ7_W127</v>
      </c>
      <c r="D127" s="6" t="s">
        <v>117</v>
      </c>
      <c r="E127" s="7" t="str">
        <f aca="false">IF(D127="PRE","N/A", 
IF(D127="SUP",I127, 
IF(D127="Single-choice",I127, 
IF(D127="Single-choice w/ correct",I127, 
IF(D127="Series", LEFT(I127, FIND("    ",I127)
))))))</f>
        <v>How do large language models, such as ChatGPT, come up with answers to questions users submit?</v>
      </c>
      <c r="F127" s="8" t="str">
        <f aca="false">IF(D127="PRE",I127,
IF(D127="SUP",I127,
IF(D127="Single-choice","N/A",
IF(D127="Single-choice w/ correct","N/A",
IF(D127="Series", RIGHT(I127, LEN(I127) - FIND("    ",I127)-3
))))))</f>
        <v>N/A</v>
      </c>
      <c r="G127" s="6" t="s">
        <v>56</v>
      </c>
      <c r="H127" s="10" t="s">
        <v>149</v>
      </c>
      <c r="I127" s="9" t="s">
        <v>150</v>
      </c>
      <c r="J127" s="10" t="n">
        <v>99</v>
      </c>
      <c r="K127" s="10" t="s">
        <v>64</v>
      </c>
    </row>
    <row r="128" customFormat="false" ht="15" hidden="false" customHeight="true" outlineLevel="0" collapsed="false">
      <c r="A128" s="1" t="s">
        <v>13</v>
      </c>
      <c r="B128" s="1" t="s">
        <v>116</v>
      </c>
      <c r="C128" s="1" t="str">
        <f aca="false">IF(D128="PRE","N/A",
IF(D128="SUP","N/A",
IF(D128="Single-choice",H128,
IF(D128="Single-choice w/ correct",H128,
IF(D128="Series", LEFT(H128,FIND("_",H128)-1) &amp; "_" &amp; MID(H128,FIND("_",H128,FIND("_",H128)+1)+1,999)
)))))</f>
        <v>DKQ8_W127</v>
      </c>
      <c r="D128" s="6" t="s">
        <v>117</v>
      </c>
      <c r="E128" s="7" t="str">
        <f aca="false">IF(D128="PRE","N/A", 
IF(D128="SUP",I128, 
IF(D128="Single-choice",I128, 
IF(D128="Single-choice w/ correct",I128, 
IF(D128="Series", LEFT(I128, FIND("    ",I128)
))))))</f>
        <v>Some websites and online services use a security process known as two-step or two-factor authentication. Which of the following images is an example of two-factor authentication?</v>
      </c>
      <c r="F128" s="8" t="str">
        <f aca="false">IF(D128="PRE",I128,
IF(D128="SUP",I128,
IF(D128="Single-choice","N/A",
IF(D128="Single-choice w/ correct","N/A",
IF(D128="Series", RIGHT(I128, LEN(I128) - FIND("    ",I128)-3
))))))</f>
        <v>N/A</v>
      </c>
      <c r="G128" s="6" t="s">
        <v>56</v>
      </c>
      <c r="H128" s="6" t="s">
        <v>155</v>
      </c>
      <c r="I128" s="9" t="s">
        <v>156</v>
      </c>
      <c r="J128" s="6" t="n">
        <v>1</v>
      </c>
      <c r="K128" s="6" t="s">
        <v>157</v>
      </c>
    </row>
    <row r="129" customFormat="false" ht="34.2" hidden="false" customHeight="false" outlineLevel="0" collapsed="false">
      <c r="A129" s="1" t="s">
        <v>13</v>
      </c>
      <c r="B129" s="1" t="s">
        <v>116</v>
      </c>
      <c r="C129" s="1" t="str">
        <f aca="false">IF(D129="PRE","N/A",
IF(D129="SUP","N/A",
IF(D129="Single-choice",H129,
IF(D129="Single-choice w/ correct",H129,
IF(D129="Series", LEFT(H129,FIND("_",H129)-1) &amp; "_" &amp; MID(H129,FIND("_",H129,FIND("_",H129)+1)+1,999)
)))))</f>
        <v>DKQ8_W127</v>
      </c>
      <c r="D129" s="6" t="s">
        <v>117</v>
      </c>
      <c r="E129" s="7" t="str">
        <f aca="false">IF(D129="PRE","N/A", 
IF(D129="SUP",I129, 
IF(D129="Single-choice",I129, 
IF(D129="Single-choice w/ correct",I129, 
IF(D129="Series", LEFT(I129, FIND("    ",I129)
))))))</f>
        <v>Some websites and online services use a security process known as two-step or two-factor authentication. Which of the following images is an example of two-factor authentication?</v>
      </c>
      <c r="F129" s="8" t="str">
        <f aca="false">IF(D129="PRE",I129,
IF(D129="SUP",I129,
IF(D129="Single-choice","N/A",
IF(D129="Single-choice w/ correct","N/A",
IF(D129="Series", RIGHT(I129, LEN(I129) - FIND("    ",I129)-3
))))))</f>
        <v>N/A</v>
      </c>
      <c r="G129" s="6" t="s">
        <v>56</v>
      </c>
      <c r="H129" s="10" t="s">
        <v>155</v>
      </c>
      <c r="I129" s="9" t="s">
        <v>156</v>
      </c>
      <c r="J129" s="10" t="n">
        <v>2</v>
      </c>
      <c r="K129" s="10" t="s">
        <v>158</v>
      </c>
    </row>
    <row r="130" customFormat="false" ht="34.2" hidden="false" customHeight="false" outlineLevel="0" collapsed="false">
      <c r="A130" s="1" t="s">
        <v>13</v>
      </c>
      <c r="B130" s="1" t="s">
        <v>116</v>
      </c>
      <c r="C130" s="1" t="str">
        <f aca="false">IF(D130="PRE","N/A",
IF(D130="SUP","N/A",
IF(D130="Single-choice",H130,
IF(D130="Single-choice w/ correct",H130,
IF(D130="Series", LEFT(H130,FIND("_",H130)-1) &amp; "_" &amp; MID(H130,FIND("_",H130,FIND("_",H130)+1)+1,999)
)))))</f>
        <v>DKQ8_W127</v>
      </c>
      <c r="D130" s="6" t="s">
        <v>117</v>
      </c>
      <c r="E130" s="7" t="str">
        <f aca="false">IF(D130="PRE","N/A", 
IF(D130="SUP",I130, 
IF(D130="Single-choice",I130, 
IF(D130="Single-choice w/ correct",I130, 
IF(D130="Series", LEFT(I130, FIND("    ",I130)
))))))</f>
        <v>Some websites and online services use a security process known as two-step or two-factor authentication. Which of the following images is an example of two-factor authentication?</v>
      </c>
      <c r="F130" s="8" t="str">
        <f aca="false">IF(D130="PRE",I130,
IF(D130="SUP",I130,
IF(D130="Single-choice","N/A",
IF(D130="Single-choice w/ correct","N/A",
IF(D130="Series", RIGHT(I130, LEN(I130) - FIND("    ",I130)-3
))))))</f>
        <v>N/A</v>
      </c>
      <c r="G130" s="6" t="s">
        <v>56</v>
      </c>
      <c r="H130" s="10" t="s">
        <v>155</v>
      </c>
      <c r="I130" s="9" t="s">
        <v>156</v>
      </c>
      <c r="J130" s="10" t="n">
        <v>3</v>
      </c>
      <c r="K130" s="10" t="s">
        <v>159</v>
      </c>
    </row>
    <row r="131" customFormat="false" ht="34.2" hidden="false" customHeight="false" outlineLevel="0" collapsed="false">
      <c r="A131" s="1" t="s">
        <v>13</v>
      </c>
      <c r="B131" s="1" t="s">
        <v>116</v>
      </c>
      <c r="C131" s="1" t="str">
        <f aca="false">IF(D131="PRE","N/A",
IF(D131="SUP","N/A",
IF(D131="Single-choice",H131,
IF(D131="Single-choice w/ correct",H131,
IF(D131="Series", LEFT(H131,FIND("_",H131)-1) &amp; "_" &amp; MID(H131,FIND("_",H131,FIND("_",H131)+1)+1,999)
)))))</f>
        <v>DKQ8_W127</v>
      </c>
      <c r="D131" s="6" t="s">
        <v>117</v>
      </c>
      <c r="E131" s="7" t="str">
        <f aca="false">IF(D131="PRE","N/A", 
IF(D131="SUP",I131, 
IF(D131="Single-choice",I131, 
IF(D131="Single-choice w/ correct",I131, 
IF(D131="Series", LEFT(I131, FIND("    ",I131)
))))))</f>
        <v>Some websites and online services use a security process known as two-step or two-factor authentication. Which of the following images is an example of two-factor authentication?</v>
      </c>
      <c r="F131" s="8" t="str">
        <f aca="false">IF(D131="PRE",I131,
IF(D131="SUP",I131,
IF(D131="Single-choice","N/A",
IF(D131="Single-choice w/ correct","N/A",
IF(D131="Series", RIGHT(I131, LEN(I131) - FIND("    ",I131)-3
))))))</f>
        <v>N/A</v>
      </c>
      <c r="G131" s="6" t="s">
        <v>56</v>
      </c>
      <c r="H131" s="10" t="s">
        <v>155</v>
      </c>
      <c r="I131" s="9" t="s">
        <v>156</v>
      </c>
      <c r="J131" s="10" t="n">
        <v>4</v>
      </c>
      <c r="K131" s="10" t="s">
        <v>160</v>
      </c>
    </row>
    <row r="132" customFormat="false" ht="34.2" hidden="false" customHeight="false" outlineLevel="0" collapsed="false">
      <c r="A132" s="1" t="s">
        <v>13</v>
      </c>
      <c r="B132" s="1" t="s">
        <v>116</v>
      </c>
      <c r="C132" s="1" t="str">
        <f aca="false">IF(D132="PRE","N/A",
IF(D132="SUP","N/A",
IF(D132="Single-choice",H132,
IF(D132="Single-choice w/ correct",H132,
IF(D132="Series", LEFT(H132,FIND("_",H132)-1) &amp; "_" &amp; MID(H132,FIND("_",H132,FIND("_",H132)+1)+1,999)
)))))</f>
        <v>DKQ8_W127</v>
      </c>
      <c r="D132" s="6" t="s">
        <v>117</v>
      </c>
      <c r="E132" s="7" t="str">
        <f aca="false">IF(D132="PRE","N/A", 
IF(D132="SUP",I132, 
IF(D132="Single-choice",I132, 
IF(D132="Single-choice w/ correct",I132, 
IF(D132="Series", LEFT(I132, FIND("    ",I132)
))))))</f>
        <v>Some websites and online services use a security process known as two-step or two-factor authentication. Which of the following images is an example of two-factor authentication?</v>
      </c>
      <c r="F132" s="8" t="str">
        <f aca="false">IF(D132="PRE",I132,
IF(D132="SUP",I132,
IF(D132="Single-choice","N/A",
IF(D132="Single-choice w/ correct","N/A",
IF(D132="Series", RIGHT(I132, LEN(I132) - FIND("    ",I132)-3
))))))</f>
        <v>N/A</v>
      </c>
      <c r="G132" s="6" t="s">
        <v>56</v>
      </c>
      <c r="H132" s="10" t="s">
        <v>155</v>
      </c>
      <c r="I132" s="9" t="s">
        <v>156</v>
      </c>
      <c r="J132" s="10" t="n">
        <v>5</v>
      </c>
      <c r="K132" s="10" t="s">
        <v>124</v>
      </c>
    </row>
    <row r="133" customFormat="false" ht="34.2" hidden="false" customHeight="false" outlineLevel="0" collapsed="false">
      <c r="A133" s="1" t="s">
        <v>13</v>
      </c>
      <c r="B133" s="1" t="s">
        <v>116</v>
      </c>
      <c r="C133" s="1" t="str">
        <f aca="false">IF(D133="PRE","N/A",
IF(D133="SUP","N/A",
IF(D133="Single-choice",H133,
IF(D133="Single-choice w/ correct",H133,
IF(D133="Series", LEFT(H133,FIND("_",H133)-1) &amp; "_" &amp; MID(H133,FIND("_",H133,FIND("_",H133)+1)+1,999)
)))))</f>
        <v>DKQ8_W127</v>
      </c>
      <c r="D133" s="6" t="s">
        <v>117</v>
      </c>
      <c r="E133" s="7" t="str">
        <f aca="false">IF(D133="PRE","N/A", 
IF(D133="SUP",I133, 
IF(D133="Single-choice",I133, 
IF(D133="Single-choice w/ correct",I133, 
IF(D133="Series", LEFT(I133, FIND("    ",I133)
))))))</f>
        <v>Some websites and online services use a security process known as two-step or two-factor authentication. Which of the following images is an example of two-factor authentication?</v>
      </c>
      <c r="F133" s="8" t="str">
        <f aca="false">IF(D133="PRE",I133,
IF(D133="SUP",I133,
IF(D133="Single-choice","N/A",
IF(D133="Single-choice w/ correct","N/A",
IF(D133="Series", RIGHT(I133, LEN(I133) - FIND("    ",I133)-3
))))))</f>
        <v>N/A</v>
      </c>
      <c r="G133" s="6" t="s">
        <v>56</v>
      </c>
      <c r="H133" s="10" t="s">
        <v>155</v>
      </c>
      <c r="I133" s="9" t="s">
        <v>156</v>
      </c>
      <c r="J133" s="10" t="n">
        <v>99</v>
      </c>
      <c r="K133" s="10" t="s">
        <v>64</v>
      </c>
    </row>
    <row r="134" customFormat="false" ht="15" hidden="false" customHeight="true" outlineLevel="0" collapsed="false">
      <c r="A134" s="1" t="s">
        <v>13</v>
      </c>
      <c r="B134" s="1" t="s">
        <v>116</v>
      </c>
      <c r="C134" s="1" t="str">
        <f aca="false">IF(D134="PRE","N/A",
IF(D134="SUP","N/A",
IF(D134="Single-choice",H134,
IF(D134="Single-choice w/ correct",H134,
IF(D134="Series", LEFT(H134,FIND("_",H134)-1) &amp; "_" &amp; MID(H134,FIND("_",H134,FIND("_",H134)+1)+1,999)
)))))</f>
        <v>DKQ9_W127</v>
      </c>
      <c r="D134" s="6" t="s">
        <v>117</v>
      </c>
      <c r="E134" s="7" t="str">
        <f aca="false">IF(D134="PRE","N/A", 
IF(D134="SUP",I134, 
IF(D134="Single-choice",I134, 
IF(D134="Single-choice w/ correct",I134, 
IF(D134="Series", LEFT(I134, FIND("    ",I134)
))))))</f>
        <v>Websites in the United States are prohibited from collecting data online from children under what age without a parent’s consent?</v>
      </c>
      <c r="F134" s="8" t="str">
        <f aca="false">IF(D134="PRE",I134,
IF(D134="SUP",I134,
IF(D134="Single-choice","N/A",
IF(D134="Single-choice w/ correct","N/A",
IF(D134="Series", RIGHT(I134, LEN(I134) - FIND("    ",I134)-3
))))))</f>
        <v>N/A</v>
      </c>
      <c r="G134" s="6" t="s">
        <v>56</v>
      </c>
      <c r="H134" s="6" t="s">
        <v>161</v>
      </c>
      <c r="I134" s="9" t="s">
        <v>162</v>
      </c>
      <c r="J134" s="6" t="n">
        <v>1</v>
      </c>
      <c r="K134" s="6" t="s">
        <v>163</v>
      </c>
    </row>
    <row r="135" customFormat="false" ht="23.3" hidden="false" customHeight="false" outlineLevel="0" collapsed="false">
      <c r="A135" s="1" t="s">
        <v>13</v>
      </c>
      <c r="B135" s="1" t="s">
        <v>116</v>
      </c>
      <c r="C135" s="1" t="str">
        <f aca="false">IF(D135="PRE","N/A",
IF(D135="SUP","N/A",
IF(D135="Single-choice",H135,
IF(D135="Single-choice w/ correct",H135,
IF(D135="Series", LEFT(H135,FIND("_",H135)-1) &amp; "_" &amp; MID(H135,FIND("_",H135,FIND("_",H135)+1)+1,999)
)))))</f>
        <v>DKQ9_W127</v>
      </c>
      <c r="D135" s="6" t="s">
        <v>117</v>
      </c>
      <c r="E135" s="7" t="str">
        <f aca="false">IF(D135="PRE","N/A", 
IF(D135="SUP",I135, 
IF(D135="Single-choice",I135, 
IF(D135="Single-choice w/ correct",I135, 
IF(D135="Series", LEFT(I135, FIND("    ",I135)
))))))</f>
        <v>Websites in the United States are prohibited from collecting data online from children under what age without a parent’s consent?</v>
      </c>
      <c r="F135" s="8" t="str">
        <f aca="false">IF(D135="PRE",I135,
IF(D135="SUP",I135,
IF(D135="Single-choice","N/A",
IF(D135="Single-choice w/ correct","N/A",
IF(D135="Series", RIGHT(I135, LEN(I135) - FIND("    ",I135)-3
))))))</f>
        <v>N/A</v>
      </c>
      <c r="G135" s="6" t="s">
        <v>56</v>
      </c>
      <c r="H135" s="10" t="s">
        <v>161</v>
      </c>
      <c r="I135" s="9" t="s">
        <v>162</v>
      </c>
      <c r="J135" s="10" t="n">
        <v>2</v>
      </c>
      <c r="K135" s="10" t="s">
        <v>164</v>
      </c>
    </row>
    <row r="136" customFormat="false" ht="23.3" hidden="false" customHeight="false" outlineLevel="0" collapsed="false">
      <c r="A136" s="1" t="s">
        <v>13</v>
      </c>
      <c r="B136" s="1" t="s">
        <v>116</v>
      </c>
      <c r="C136" s="1" t="str">
        <f aca="false">IF(D136="PRE","N/A",
IF(D136="SUP","N/A",
IF(D136="Single-choice",H136,
IF(D136="Single-choice w/ correct",H136,
IF(D136="Series", LEFT(H136,FIND("_",H136)-1) &amp; "_" &amp; MID(H136,FIND("_",H136,FIND("_",H136)+1)+1,999)
)))))</f>
        <v>DKQ9_W127</v>
      </c>
      <c r="D136" s="6" t="s">
        <v>117</v>
      </c>
      <c r="E136" s="7" t="str">
        <f aca="false">IF(D136="PRE","N/A", 
IF(D136="SUP",I136, 
IF(D136="Single-choice",I136, 
IF(D136="Single-choice w/ correct",I136, 
IF(D136="Series", LEFT(I136, FIND("    ",I136)
))))))</f>
        <v>Websites in the United States are prohibited from collecting data online from children under what age without a parent’s consent?</v>
      </c>
      <c r="F136" s="8" t="str">
        <f aca="false">IF(D136="PRE",I136,
IF(D136="SUP",I136,
IF(D136="Single-choice","N/A",
IF(D136="Single-choice w/ correct","N/A",
IF(D136="Series", RIGHT(I136, LEN(I136) - FIND("    ",I136)-3
))))))</f>
        <v>N/A</v>
      </c>
      <c r="G136" s="6" t="s">
        <v>56</v>
      </c>
      <c r="H136" s="10" t="s">
        <v>161</v>
      </c>
      <c r="I136" s="9" t="s">
        <v>162</v>
      </c>
      <c r="J136" s="10" t="n">
        <v>3</v>
      </c>
      <c r="K136" s="10" t="s">
        <v>165</v>
      </c>
    </row>
    <row r="137" customFormat="false" ht="23.3" hidden="false" customHeight="false" outlineLevel="0" collapsed="false">
      <c r="A137" s="1" t="s">
        <v>13</v>
      </c>
      <c r="B137" s="1" t="s">
        <v>116</v>
      </c>
      <c r="C137" s="1" t="str">
        <f aca="false">IF(D137="PRE","N/A",
IF(D137="SUP","N/A",
IF(D137="Single-choice",H137,
IF(D137="Single-choice w/ correct",H137,
IF(D137="Series", LEFT(H137,FIND("_",H137)-1) &amp; "_" &amp; MID(H137,FIND("_",H137,FIND("_",H137)+1)+1,999)
)))))</f>
        <v>DKQ9_W127</v>
      </c>
      <c r="D137" s="6" t="s">
        <v>117</v>
      </c>
      <c r="E137" s="7" t="str">
        <f aca="false">IF(D137="PRE","N/A", 
IF(D137="SUP",I137, 
IF(D137="Single-choice",I137, 
IF(D137="Single-choice w/ correct",I137, 
IF(D137="Series", LEFT(I137, FIND("    ",I137)
))))))</f>
        <v>Websites in the United States are prohibited from collecting data online from children under what age without a parent’s consent?</v>
      </c>
      <c r="F137" s="8" t="str">
        <f aca="false">IF(D137="PRE",I137,
IF(D137="SUP",I137,
IF(D137="Single-choice","N/A",
IF(D137="Single-choice w/ correct","N/A",
IF(D137="Series", RIGHT(I137, LEN(I137) - FIND("    ",I137)-3
))))))</f>
        <v>N/A</v>
      </c>
      <c r="G137" s="6" t="s">
        <v>56</v>
      </c>
      <c r="H137" s="10" t="s">
        <v>161</v>
      </c>
      <c r="I137" s="9" t="s">
        <v>162</v>
      </c>
      <c r="J137" s="10" t="n">
        <v>4</v>
      </c>
      <c r="K137" s="10" t="s">
        <v>166</v>
      </c>
    </row>
    <row r="138" customFormat="false" ht="23.3" hidden="false" customHeight="false" outlineLevel="0" collapsed="false">
      <c r="A138" s="1" t="s">
        <v>13</v>
      </c>
      <c r="B138" s="1" t="s">
        <v>116</v>
      </c>
      <c r="C138" s="1" t="str">
        <f aca="false">IF(D138="PRE","N/A",
IF(D138="SUP","N/A",
IF(D138="Single-choice",H138,
IF(D138="Single-choice w/ correct",H138,
IF(D138="Series", LEFT(H138,FIND("_",H138)-1) &amp; "_" &amp; MID(H138,FIND("_",H138,FIND("_",H138)+1)+1,999)
)))))</f>
        <v>DKQ9_W127</v>
      </c>
      <c r="D138" s="6" t="s">
        <v>117</v>
      </c>
      <c r="E138" s="7" t="str">
        <f aca="false">IF(D138="PRE","N/A", 
IF(D138="SUP",I138, 
IF(D138="Single-choice",I138, 
IF(D138="Single-choice w/ correct",I138, 
IF(D138="Series", LEFT(I138, FIND("    ",I138)
))))))</f>
        <v>Websites in the United States are prohibited from collecting data online from children under what age without a parent’s consent?</v>
      </c>
      <c r="F138" s="8" t="str">
        <f aca="false">IF(D138="PRE",I138,
IF(D138="SUP",I138,
IF(D138="Single-choice","N/A",
IF(D138="Single-choice w/ correct","N/A",
IF(D138="Series", RIGHT(I138, LEN(I138) - FIND("    ",I138)-3
))))))</f>
        <v>N/A</v>
      </c>
      <c r="G138" s="6" t="s">
        <v>56</v>
      </c>
      <c r="H138" s="10" t="s">
        <v>161</v>
      </c>
      <c r="I138" s="9" t="s">
        <v>162</v>
      </c>
      <c r="J138" s="10" t="n">
        <v>5</v>
      </c>
      <c r="K138" s="10" t="s">
        <v>167</v>
      </c>
    </row>
    <row r="139" customFormat="false" ht="23.3" hidden="false" customHeight="false" outlineLevel="0" collapsed="false">
      <c r="A139" s="1" t="s">
        <v>13</v>
      </c>
      <c r="B139" s="1" t="s">
        <v>116</v>
      </c>
      <c r="C139" s="1" t="str">
        <f aca="false">IF(D139="PRE","N/A",
IF(D139="SUP","N/A",
IF(D139="Single-choice",H139,
IF(D139="Single-choice w/ correct",H139,
IF(D139="Series", LEFT(H139,FIND("_",H139)-1) &amp; "_" &amp; MID(H139,FIND("_",H139,FIND("_",H139)+1)+1,999)
)))))</f>
        <v>DKQ9_W127</v>
      </c>
      <c r="D139" s="6" t="s">
        <v>117</v>
      </c>
      <c r="E139" s="7" t="str">
        <f aca="false">IF(D139="PRE","N/A", 
IF(D139="SUP",I139, 
IF(D139="Single-choice",I139, 
IF(D139="Single-choice w/ correct",I139, 
IF(D139="Series", LEFT(I139, FIND("    ",I139)
))))))</f>
        <v>Websites in the United States are prohibited from collecting data online from children under what age without a parent’s consent?</v>
      </c>
      <c r="F139" s="8" t="str">
        <f aca="false">IF(D139="PRE",I139,
IF(D139="SUP",I139,
IF(D139="Single-choice","N/A",
IF(D139="Single-choice w/ correct","N/A",
IF(D139="Series", RIGHT(I139, LEN(I139) - FIND("    ",I139)-3
))))))</f>
        <v>N/A</v>
      </c>
      <c r="G139" s="6" t="s">
        <v>56</v>
      </c>
      <c r="H139" s="10" t="s">
        <v>161</v>
      </c>
      <c r="I139" s="9" t="s">
        <v>162</v>
      </c>
      <c r="J139" s="10" t="n">
        <v>6</v>
      </c>
      <c r="K139" s="10" t="s">
        <v>124</v>
      </c>
    </row>
    <row r="140" customFormat="false" ht="23.3" hidden="false" customHeight="false" outlineLevel="0" collapsed="false">
      <c r="A140" s="1" t="s">
        <v>13</v>
      </c>
      <c r="B140" s="1" t="s">
        <v>116</v>
      </c>
      <c r="C140" s="1" t="str">
        <f aca="false">IF(D140="PRE","N/A",
IF(D140="SUP","N/A",
IF(D140="Single-choice",H140,
IF(D140="Single-choice w/ correct",H140,
IF(D140="Series", LEFT(H140,FIND("_",H140)-1) &amp; "_" &amp; MID(H140,FIND("_",H140,FIND("_",H140)+1)+1,999)
)))))</f>
        <v>DKQ9_W127</v>
      </c>
      <c r="D140" s="6" t="s">
        <v>117</v>
      </c>
      <c r="E140" s="7" t="str">
        <f aca="false">IF(D140="PRE","N/A", 
IF(D140="SUP",I140, 
IF(D140="Single-choice",I140, 
IF(D140="Single-choice w/ correct",I140, 
IF(D140="Series", LEFT(I140, FIND("    ",I140)
))))))</f>
        <v>Websites in the United States are prohibited from collecting data online from children under what age without a parent’s consent?</v>
      </c>
      <c r="F140" s="8" t="str">
        <f aca="false">IF(D140="PRE",I140,
IF(D140="SUP",I140,
IF(D140="Single-choice","N/A",
IF(D140="Single-choice w/ correct","N/A",
IF(D140="Series", RIGHT(I140, LEN(I140) - FIND("    ",I140)-3
))))))</f>
        <v>N/A</v>
      </c>
      <c r="G140" s="6" t="s">
        <v>56</v>
      </c>
      <c r="H140" s="10" t="s">
        <v>161</v>
      </c>
      <c r="I140" s="9" t="s">
        <v>162</v>
      </c>
      <c r="J140" s="10" t="n">
        <v>99</v>
      </c>
      <c r="K140" s="10" t="s">
        <v>64</v>
      </c>
    </row>
    <row r="141" customFormat="false" ht="15" hidden="false" customHeight="true" outlineLevel="0" collapsed="false">
      <c r="A141" s="1" t="s">
        <v>13</v>
      </c>
      <c r="B141" s="1" t="s">
        <v>116</v>
      </c>
      <c r="C141" s="1" t="str">
        <f aca="false">IF(D141="PRE","N/A",
IF(D141="SUP","N/A",
IF(D141="Single-choice",H141,
IF(D141="Single-choice w/ correct",H141,
IF(D141="Series", LEFT(H141,FIND("_",H141)-1) &amp; "_" &amp; MID(H141,FIND("_",H141,FIND("_",H141)+1)+1,999)
)))))</f>
        <v>DKQ10_W127</v>
      </c>
      <c r="D141" s="6" t="s">
        <v>117</v>
      </c>
      <c r="E141" s="7" t="str">
        <f aca="false">IF(D141="PRE","N/A", 
IF(D141="SUP",I141, 
IF(D141="Single-choice",I141, 
IF(D141="Single-choice w/ correct",I141, 
IF(D141="Series", LEFT(I141, FIND("    ",I141)
))))))</f>
        <v>Does the United States have a national privacy law that sets common standards for what companies can do with all data their products and services collect?</v>
      </c>
      <c r="F141" s="8" t="str">
        <f aca="false">IF(D141="PRE",I141,
IF(D141="SUP",I141,
IF(D141="Single-choice","N/A",
IF(D141="Single-choice w/ correct","N/A",
IF(D141="Series", RIGHT(I141, LEN(I141) - FIND("    ",I141)-3
))))))</f>
        <v>N/A</v>
      </c>
      <c r="G141" s="6" t="s">
        <v>56</v>
      </c>
      <c r="H141" s="6" t="s">
        <v>168</v>
      </c>
      <c r="I141" s="9" t="s">
        <v>169</v>
      </c>
      <c r="J141" s="6" t="n">
        <v>1</v>
      </c>
      <c r="K141" s="6" t="s">
        <v>170</v>
      </c>
    </row>
    <row r="142" customFormat="false" ht="34.2" hidden="false" customHeight="false" outlineLevel="0" collapsed="false">
      <c r="A142" s="1" t="s">
        <v>13</v>
      </c>
      <c r="B142" s="1" t="s">
        <v>116</v>
      </c>
      <c r="C142" s="1" t="str">
        <f aca="false">IF(D142="PRE","N/A",
IF(D142="SUP","N/A",
IF(D142="Single-choice",H142,
IF(D142="Single-choice w/ correct",H142,
IF(D142="Series", LEFT(H142,FIND("_",H142)-1) &amp; "_" &amp; MID(H142,FIND("_",H142,FIND("_",H142)+1)+1,999)
)))))</f>
        <v>DKQ10_W127</v>
      </c>
      <c r="D142" s="6" t="s">
        <v>117</v>
      </c>
      <c r="E142" s="7" t="str">
        <f aca="false">IF(D142="PRE","N/A", 
IF(D142="SUP",I142, 
IF(D142="Single-choice",I142, 
IF(D142="Single-choice w/ correct",I142, 
IF(D142="Series", LEFT(I142, FIND("    ",I142)
))))))</f>
        <v>Does the United States have a national privacy law that sets common standards for what companies can do with all data their products and services collect?</v>
      </c>
      <c r="F142" s="8" t="str">
        <f aca="false">IF(D142="PRE",I142,
IF(D142="SUP",I142,
IF(D142="Single-choice","N/A",
IF(D142="Single-choice w/ correct","N/A",
IF(D142="Series", RIGHT(I142, LEN(I142) - FIND("    ",I142)-3
))))))</f>
        <v>N/A</v>
      </c>
      <c r="G142" s="6" t="s">
        <v>56</v>
      </c>
      <c r="H142" s="10" t="s">
        <v>168</v>
      </c>
      <c r="I142" s="9" t="s">
        <v>169</v>
      </c>
      <c r="J142" s="10" t="n">
        <v>2</v>
      </c>
      <c r="K142" s="10" t="s">
        <v>171</v>
      </c>
    </row>
    <row r="143" customFormat="false" ht="34.2" hidden="false" customHeight="false" outlineLevel="0" collapsed="false">
      <c r="A143" s="1" t="s">
        <v>13</v>
      </c>
      <c r="B143" s="1" t="s">
        <v>116</v>
      </c>
      <c r="C143" s="1" t="str">
        <f aca="false">IF(D143="PRE","N/A",
IF(D143="SUP","N/A",
IF(D143="Single-choice",H143,
IF(D143="Single-choice w/ correct",H143,
IF(D143="Series", LEFT(H143,FIND("_",H143)-1) &amp; "_" &amp; MID(H143,FIND("_",H143,FIND("_",H143)+1)+1,999)
)))))</f>
        <v>DKQ10_W127</v>
      </c>
      <c r="D143" s="6" t="s">
        <v>117</v>
      </c>
      <c r="E143" s="7" t="str">
        <f aca="false">IF(D143="PRE","N/A", 
IF(D143="SUP",I143, 
IF(D143="Single-choice",I143, 
IF(D143="Single-choice w/ correct",I143, 
IF(D143="Series", LEFT(I143, FIND("    ",I143)
))))))</f>
        <v>Does the United States have a national privacy law that sets common standards for what companies can do with all data their products and services collect?</v>
      </c>
      <c r="F143" s="8" t="str">
        <f aca="false">IF(D143="PRE",I143,
IF(D143="SUP",I143,
IF(D143="Single-choice","N/A",
IF(D143="Single-choice w/ correct","N/A",
IF(D143="Series", RIGHT(I143, LEN(I143) - FIND("    ",I143)-3
))))))</f>
        <v>N/A</v>
      </c>
      <c r="G143" s="6" t="s">
        <v>56</v>
      </c>
      <c r="H143" s="10" t="s">
        <v>168</v>
      </c>
      <c r="I143" s="9" t="s">
        <v>169</v>
      </c>
      <c r="J143" s="10" t="n">
        <v>3</v>
      </c>
      <c r="K143" s="10" t="s">
        <v>124</v>
      </c>
    </row>
    <row r="144" customFormat="false" ht="34.2" hidden="false" customHeight="false" outlineLevel="0" collapsed="false">
      <c r="A144" s="1" t="s">
        <v>13</v>
      </c>
      <c r="B144" s="1" t="s">
        <v>116</v>
      </c>
      <c r="C144" s="1" t="str">
        <f aca="false">IF(D144="PRE","N/A",
IF(D144="SUP","N/A",
IF(D144="Single-choice",H144,
IF(D144="Single-choice w/ correct",H144,
IF(D144="Series", LEFT(H144,FIND("_",H144)-1) &amp; "_" &amp; MID(H144,FIND("_",H144,FIND("_",H144)+1)+1,999)
)))))</f>
        <v>DKQ10_W127</v>
      </c>
      <c r="D144" s="6" t="s">
        <v>117</v>
      </c>
      <c r="E144" s="7" t="str">
        <f aca="false">IF(D144="PRE","N/A", 
IF(D144="SUP",I144, 
IF(D144="Single-choice",I144, 
IF(D144="Single-choice w/ correct",I144, 
IF(D144="Series", LEFT(I144, FIND("    ",I144)
))))))</f>
        <v>Does the United States have a national privacy law that sets common standards for what companies can do with all data their products and services collect?</v>
      </c>
      <c r="F144" s="8" t="str">
        <f aca="false">IF(D144="PRE",I144,
IF(D144="SUP",I144,
IF(D144="Single-choice","N/A",
IF(D144="Single-choice w/ correct","N/A",
IF(D144="Series", RIGHT(I144, LEN(I144) - FIND("    ",I144)-3
))))))</f>
        <v>N/A</v>
      </c>
      <c r="G144" s="6" t="s">
        <v>56</v>
      </c>
      <c r="H144" s="10" t="s">
        <v>168</v>
      </c>
      <c r="I144" s="9" t="s">
        <v>169</v>
      </c>
      <c r="J144" s="10" t="n">
        <v>99</v>
      </c>
      <c r="K144" s="10" t="s">
        <v>64</v>
      </c>
    </row>
    <row r="145" customFormat="false" ht="15" hidden="false" customHeight="true" outlineLevel="0" collapsed="false">
      <c r="A145" s="1" t="s">
        <v>13</v>
      </c>
      <c r="B145" s="1" t="s">
        <v>172</v>
      </c>
      <c r="C145" s="1" t="str">
        <f aca="false">IF(D145="PRE","N/A",
IF(D145="SUP","N/A",
IF(D145="Single-choice",H145,
IF(D145="Single-choice w/ correct",H145,
IF(D145="Series", LEFT(H145,FIND("_",H145)-1) &amp; "_" &amp; MID(H145,FIND("_",H145,FIND("_",H145)+1)+1,999)
)))))</f>
        <v>PRIVFEEL_W127</v>
      </c>
      <c r="D145" s="6" t="s">
        <v>78</v>
      </c>
      <c r="E145" s="7" t="str">
        <f aca="false">IF(D145="PRE","N/A", 
IF(D145="SUP",I145, 
IF(D145="Single-choice",I145, 
IF(D145="Single-choice w/ correct",I145, 
IF(D145="Series", LEFT(I145, FIND("    ",I145)
))))))</f>
        <v>When you think about managing your privacy online, do you feel… </v>
      </c>
      <c r="F145" s="8" t="str">
        <f aca="false">IF(D145="PRE",I145,
IF(D145="SUP",I145,
IF(D145="Single-choice","N/A",
IF(D145="Single-choice w/ correct","N/A",
IF(D145="Series", RIGHT(I145, LEN(I145) - FIND("    ",I145)-3
))))))</f>
        <v>Overwhelmed by figuring out what you need to do</v>
      </c>
      <c r="G145" s="6" t="s">
        <v>73</v>
      </c>
      <c r="H145" s="6" t="s">
        <v>173</v>
      </c>
      <c r="I145" s="9" t="s">
        <v>174</v>
      </c>
      <c r="J145" s="6" t="n">
        <v>1</v>
      </c>
      <c r="K145" s="6" t="s">
        <v>175</v>
      </c>
    </row>
    <row r="146" customFormat="false" ht="23.3" hidden="false" customHeight="false" outlineLevel="0" collapsed="false">
      <c r="A146" s="1" t="s">
        <v>13</v>
      </c>
      <c r="B146" s="1" t="s">
        <v>172</v>
      </c>
      <c r="C146" s="1" t="str">
        <f aca="false">IF(D146="PRE","N/A",
IF(D146="SUP","N/A",
IF(D146="Single-choice",H146,
IF(D146="Single-choice w/ correct",H146,
IF(D146="Series", LEFT(H146,FIND("_",H146)-1) &amp; "_" &amp; MID(H146,FIND("_",H146,FIND("_",H146)+1)+1,999)
)))))</f>
        <v>PRIVFEEL_W127</v>
      </c>
      <c r="D146" s="6" t="s">
        <v>78</v>
      </c>
      <c r="E146" s="7" t="str">
        <f aca="false">IF(D146="PRE","N/A", 
IF(D146="SUP",I146, 
IF(D146="Single-choice",I146, 
IF(D146="Single-choice w/ correct",I146, 
IF(D146="Series", LEFT(I146, FIND("    ",I146)
))))))</f>
        <v>When you think about managing your privacy online, do you feel… </v>
      </c>
      <c r="F146" s="8" t="str">
        <f aca="false">IF(D146="PRE",I146,
IF(D146="SUP",I146,
IF(D146="Single-choice","N/A",
IF(D146="Single-choice w/ correct","N/A",
IF(D146="Series", RIGHT(I146, LEN(I146) - FIND("    ",I146)-3
))))))</f>
        <v>Overwhelmed by figuring out what you need to do</v>
      </c>
      <c r="G146" s="6" t="s">
        <v>73</v>
      </c>
      <c r="H146" s="10" t="s">
        <v>173</v>
      </c>
      <c r="I146" s="9" t="s">
        <v>174</v>
      </c>
      <c r="J146" s="10" t="n">
        <v>2</v>
      </c>
      <c r="K146" s="10" t="s">
        <v>176</v>
      </c>
    </row>
    <row r="147" customFormat="false" ht="23.3" hidden="false" customHeight="false" outlineLevel="0" collapsed="false">
      <c r="A147" s="1" t="s">
        <v>13</v>
      </c>
      <c r="B147" s="1" t="s">
        <v>172</v>
      </c>
      <c r="C147" s="1" t="str">
        <f aca="false">IF(D147="PRE","N/A",
IF(D147="SUP","N/A",
IF(D147="Single-choice",H147,
IF(D147="Single-choice w/ correct",H147,
IF(D147="Series", LEFT(H147,FIND("_",H147)-1) &amp; "_" &amp; MID(H147,FIND("_",H147,FIND("_",H147)+1)+1,999)
)))))</f>
        <v>PRIVFEEL_W127</v>
      </c>
      <c r="D147" s="6" t="s">
        <v>78</v>
      </c>
      <c r="E147" s="7" t="str">
        <f aca="false">IF(D147="PRE","N/A", 
IF(D147="SUP",I147, 
IF(D147="Single-choice",I147, 
IF(D147="Single-choice w/ correct",I147, 
IF(D147="Series", LEFT(I147, FIND("    ",I147)
))))))</f>
        <v>When you think about managing your privacy online, do you feel… </v>
      </c>
      <c r="F147" s="8" t="str">
        <f aca="false">IF(D147="PRE",I147,
IF(D147="SUP",I147,
IF(D147="Single-choice","N/A",
IF(D147="Single-choice w/ correct","N/A",
IF(D147="Series", RIGHT(I147, LEN(I147) - FIND("    ",I147)-3
))))))</f>
        <v>Overwhelmed by figuring out what you need to do</v>
      </c>
      <c r="G147" s="6" t="s">
        <v>73</v>
      </c>
      <c r="H147" s="10" t="s">
        <v>173</v>
      </c>
      <c r="I147" s="9" t="s">
        <v>174</v>
      </c>
      <c r="J147" s="10" t="n">
        <v>99</v>
      </c>
      <c r="K147" s="10" t="s">
        <v>64</v>
      </c>
    </row>
    <row r="148" customFormat="false" ht="15" hidden="false" customHeight="true" outlineLevel="0" collapsed="false">
      <c r="A148" s="1" t="s">
        <v>13</v>
      </c>
      <c r="B148" s="1" t="s">
        <v>172</v>
      </c>
      <c r="C148" s="1" t="str">
        <f aca="false">IF(D148="PRE","N/A",
IF(D148="SUP","N/A",
IF(D148="Single-choice",H148,
IF(D148="Single-choice w/ correct",H148,
IF(D148="Series", LEFT(H148,FIND("_",H148)-1) &amp; "_" &amp; MID(H148,FIND("_",H148,FIND("_",H148)+1)+1,999)
)))))</f>
        <v>PRIVFEEL_W127</v>
      </c>
      <c r="D148" s="6" t="s">
        <v>78</v>
      </c>
      <c r="E148" s="7" t="str">
        <f aca="false">IF(D148="PRE","N/A", 
IF(D148="SUP",I148, 
IF(D148="Single-choice",I148, 
IF(D148="Single-choice w/ correct",I148, 
IF(D148="Series", LEFT(I148, FIND("    ",I148)
))))))</f>
        <v>When you think about managing your privacy online, do you feel… </v>
      </c>
      <c r="F148" s="8" t="str">
        <f aca="false">IF(D148="PRE",I148,
IF(D148="SUP",I148,
IF(D148="Single-choice","N/A",
IF(D148="Single-choice w/ correct","N/A",
IF(D148="Series", RIGHT(I148, LEN(I148) - FIND("    ",I148)-3
))))))</f>
        <v>Skeptical that anything you do will make much difference</v>
      </c>
      <c r="G148" s="6" t="s">
        <v>73</v>
      </c>
      <c r="H148" s="6" t="s">
        <v>177</v>
      </c>
      <c r="I148" s="9" t="s">
        <v>178</v>
      </c>
      <c r="J148" s="6" t="n">
        <v>1</v>
      </c>
      <c r="K148" s="6" t="s">
        <v>175</v>
      </c>
    </row>
    <row r="149" customFormat="false" ht="23.3" hidden="false" customHeight="false" outlineLevel="0" collapsed="false">
      <c r="A149" s="1" t="s">
        <v>13</v>
      </c>
      <c r="B149" s="1" t="s">
        <v>172</v>
      </c>
      <c r="C149" s="1" t="str">
        <f aca="false">IF(D149="PRE","N/A",
IF(D149="SUP","N/A",
IF(D149="Single-choice",H149,
IF(D149="Single-choice w/ correct",H149,
IF(D149="Series", LEFT(H149,FIND("_",H149)-1) &amp; "_" &amp; MID(H149,FIND("_",H149,FIND("_",H149)+1)+1,999)
)))))</f>
        <v>PRIVFEEL_W127</v>
      </c>
      <c r="D149" s="6" t="s">
        <v>78</v>
      </c>
      <c r="E149" s="7" t="str">
        <f aca="false">IF(D149="PRE","N/A", 
IF(D149="SUP",I149, 
IF(D149="Single-choice",I149, 
IF(D149="Single-choice w/ correct",I149, 
IF(D149="Series", LEFT(I149, FIND("    ",I149)
))))))</f>
        <v>When you think about managing your privacy online, do you feel… </v>
      </c>
      <c r="F149" s="8" t="str">
        <f aca="false">IF(D149="PRE",I149,
IF(D149="SUP",I149,
IF(D149="Single-choice","N/A",
IF(D149="Single-choice w/ correct","N/A",
IF(D149="Series", RIGHT(I149, LEN(I149) - FIND("    ",I149)-3
))))))</f>
        <v>Skeptical that anything you do will make much difference</v>
      </c>
      <c r="G149" s="6" t="s">
        <v>73</v>
      </c>
      <c r="H149" s="10" t="s">
        <v>177</v>
      </c>
      <c r="I149" s="9" t="s">
        <v>178</v>
      </c>
      <c r="J149" s="10" t="n">
        <v>2</v>
      </c>
      <c r="K149" s="10" t="s">
        <v>176</v>
      </c>
    </row>
    <row r="150" customFormat="false" ht="23.3" hidden="false" customHeight="false" outlineLevel="0" collapsed="false">
      <c r="A150" s="1" t="s">
        <v>13</v>
      </c>
      <c r="B150" s="1" t="s">
        <v>172</v>
      </c>
      <c r="C150" s="1" t="str">
        <f aca="false">IF(D150="PRE","N/A",
IF(D150="SUP","N/A",
IF(D150="Single-choice",H150,
IF(D150="Single-choice w/ correct",H150,
IF(D150="Series", LEFT(H150,FIND("_",H150)-1) &amp; "_" &amp; MID(H150,FIND("_",H150,FIND("_",H150)+1)+1,999)
)))))</f>
        <v>PRIVFEEL_W127</v>
      </c>
      <c r="D150" s="6" t="s">
        <v>78</v>
      </c>
      <c r="E150" s="7" t="str">
        <f aca="false">IF(D150="PRE","N/A", 
IF(D150="SUP",I150, 
IF(D150="Single-choice",I150, 
IF(D150="Single-choice w/ correct",I150, 
IF(D150="Series", LEFT(I150, FIND("    ",I150)
))))))</f>
        <v>When you think about managing your privacy online, do you feel… </v>
      </c>
      <c r="F150" s="8" t="str">
        <f aca="false">IF(D150="PRE",I150,
IF(D150="SUP",I150,
IF(D150="Single-choice","N/A",
IF(D150="Single-choice w/ correct","N/A",
IF(D150="Series", RIGHT(I150, LEN(I150) - FIND("    ",I150)-3
))))))</f>
        <v>Skeptical that anything you do will make much difference</v>
      </c>
      <c r="G150" s="6" t="s">
        <v>73</v>
      </c>
      <c r="H150" s="10" t="s">
        <v>177</v>
      </c>
      <c r="I150" s="9" t="s">
        <v>178</v>
      </c>
      <c r="J150" s="10" t="n">
        <v>99</v>
      </c>
      <c r="K150" s="10" t="s">
        <v>64</v>
      </c>
    </row>
    <row r="151" customFormat="false" ht="15" hidden="false" customHeight="true" outlineLevel="0" collapsed="false">
      <c r="A151" s="1" t="s">
        <v>13</v>
      </c>
      <c r="B151" s="1" t="s">
        <v>172</v>
      </c>
      <c r="C151" s="1" t="str">
        <f aca="false">IF(D151="PRE","N/A",
IF(D151="SUP","N/A",
IF(D151="Single-choice",H151,
IF(D151="Single-choice w/ correct",H151,
IF(D151="Series", LEFT(H151,FIND("_",H151)-1) &amp; "_" &amp; MID(H151,FIND("_",H151,FIND("_",H151)+1)+1,999)
)))))</f>
        <v>PRIVFEEL_W127</v>
      </c>
      <c r="D151" s="6" t="s">
        <v>78</v>
      </c>
      <c r="E151" s="7" t="str">
        <f aca="false">IF(D151="PRE","N/A", 
IF(D151="SUP",I151, 
IF(D151="Single-choice",I151, 
IF(D151="Single-choice w/ correct",I151, 
IF(D151="Series", LEFT(I151, FIND("    ",I151)
))))))</f>
        <v>When you think about managing your privacy online, do you feel… </v>
      </c>
      <c r="F151" s="8" t="str">
        <f aca="false">IF(D151="PRE",I151,
IF(D151="SUP",I151,
IF(D151="Single-choice","N/A",
IF(D151="Single-choice w/ correct","N/A",
IF(D151="Series", RIGHT(I151, LEN(I151) - FIND("    ",I151)-3
))))))</f>
        <v>Confident those who have access to your personal information will do what is right</v>
      </c>
      <c r="G151" s="6" t="s">
        <v>73</v>
      </c>
      <c r="H151" s="6" t="s">
        <v>179</v>
      </c>
      <c r="I151" s="9" t="s">
        <v>180</v>
      </c>
      <c r="J151" s="6" t="n">
        <v>1</v>
      </c>
      <c r="K151" s="6" t="s">
        <v>175</v>
      </c>
    </row>
    <row r="152" customFormat="false" ht="34.75" hidden="false" customHeight="false" outlineLevel="0" collapsed="false">
      <c r="A152" s="1" t="s">
        <v>13</v>
      </c>
      <c r="B152" s="1" t="s">
        <v>172</v>
      </c>
      <c r="C152" s="1" t="str">
        <f aca="false">IF(D152="PRE","N/A",
IF(D152="SUP","N/A",
IF(D152="Single-choice",H152,
IF(D152="Single-choice w/ correct",H152,
IF(D152="Series", LEFT(H152,FIND("_",H152)-1) &amp; "_" &amp; MID(H152,FIND("_",H152,FIND("_",H152)+1)+1,999)
)))))</f>
        <v>PRIVFEEL_W127</v>
      </c>
      <c r="D152" s="6" t="s">
        <v>78</v>
      </c>
      <c r="E152" s="7" t="str">
        <f aca="false">IF(D152="PRE","N/A", 
IF(D152="SUP",I152, 
IF(D152="Single-choice",I152, 
IF(D152="Single-choice w/ correct",I152, 
IF(D152="Series", LEFT(I152, FIND("    ",I152)
))))))</f>
        <v>When you think about managing your privacy online, do you feel… </v>
      </c>
      <c r="F152" s="8" t="str">
        <f aca="false">IF(D152="PRE",I152,
IF(D152="SUP",I152,
IF(D152="Single-choice","N/A",
IF(D152="Single-choice w/ correct","N/A",
IF(D152="Series", RIGHT(I152, LEN(I152) - FIND("    ",I152)-3
))))))</f>
        <v>Confident those who have access to your personal information will do what is right</v>
      </c>
      <c r="G152" s="6" t="s">
        <v>73</v>
      </c>
      <c r="H152" s="10" t="s">
        <v>179</v>
      </c>
      <c r="I152" s="9" t="s">
        <v>180</v>
      </c>
      <c r="J152" s="10" t="n">
        <v>2</v>
      </c>
      <c r="K152" s="10" t="s">
        <v>176</v>
      </c>
    </row>
    <row r="153" customFormat="false" ht="34.75" hidden="false" customHeight="false" outlineLevel="0" collapsed="false">
      <c r="A153" s="1" t="s">
        <v>13</v>
      </c>
      <c r="B153" s="1" t="s">
        <v>172</v>
      </c>
      <c r="C153" s="1" t="str">
        <f aca="false">IF(D153="PRE","N/A",
IF(D153="SUP","N/A",
IF(D153="Single-choice",H153,
IF(D153="Single-choice w/ correct",H153,
IF(D153="Series", LEFT(H153,FIND("_",H153)-1) &amp; "_" &amp; MID(H153,FIND("_",H153,FIND("_",H153)+1)+1,999)
)))))</f>
        <v>PRIVFEEL_W127</v>
      </c>
      <c r="D153" s="6" t="s">
        <v>78</v>
      </c>
      <c r="E153" s="7" t="str">
        <f aca="false">IF(D153="PRE","N/A", 
IF(D153="SUP",I153, 
IF(D153="Single-choice",I153, 
IF(D153="Single-choice w/ correct",I153, 
IF(D153="Series", LEFT(I153, FIND("    ",I153)
))))))</f>
        <v>When you think about managing your privacy online, do you feel… </v>
      </c>
      <c r="F153" s="8" t="str">
        <f aca="false">IF(D153="PRE",I153,
IF(D153="SUP",I153,
IF(D153="Single-choice","N/A",
IF(D153="Single-choice w/ correct","N/A",
IF(D153="Series", RIGHT(I153, LEN(I153) - FIND("    ",I153)-3
))))))</f>
        <v>Confident those who have access to your personal information will do what is right</v>
      </c>
      <c r="G153" s="6" t="s">
        <v>73</v>
      </c>
      <c r="H153" s="10" t="s">
        <v>179</v>
      </c>
      <c r="I153" s="9" t="s">
        <v>180</v>
      </c>
      <c r="J153" s="10" t="n">
        <v>99</v>
      </c>
      <c r="K153" s="10" t="s">
        <v>64</v>
      </c>
    </row>
    <row r="154" customFormat="false" ht="15" hidden="false" customHeight="true" outlineLevel="0" collapsed="false">
      <c r="A154" s="1" t="s">
        <v>13</v>
      </c>
      <c r="B154" s="1" t="s">
        <v>172</v>
      </c>
      <c r="C154" s="1" t="str">
        <f aca="false">IF(D154="PRE","N/A",
IF(D154="SUP","N/A",
IF(D154="Single-choice",H154,
IF(D154="Single-choice w/ correct",H154,
IF(D154="Series", LEFT(H154,FIND("_",H154)-1) &amp; "_" &amp; MID(H154,FIND("_",H154,FIND("_",H154)+1)+1,999)
)))))</f>
        <v>PRIVFEEL_W127</v>
      </c>
      <c r="D154" s="6" t="s">
        <v>78</v>
      </c>
      <c r="E154" s="7" t="str">
        <f aca="false">IF(D154="PRE","N/A", 
IF(D154="SUP",I154, 
IF(D154="Single-choice",I154, 
IF(D154="Single-choice w/ correct",I154, 
IF(D154="Series", LEFT(I154, FIND("    ",I154)
))))))</f>
        <v>When you think about managing your privacy online, do you feel… </v>
      </c>
      <c r="F154" s="8" t="str">
        <f aca="false">IF(D154="PRE",I154,
IF(D154="SUP",I154,
IF(D154="Single-choice","N/A",
IF(D154="Single-choice w/ correct","N/A",
IF(D154="Series", RIGHT(I154, LEN(I154) - FIND("    ",I154)-3
))))))</f>
        <v>You trust yourself to make the right decisions about your personal information</v>
      </c>
      <c r="G154" s="6" t="s">
        <v>73</v>
      </c>
      <c r="H154" s="6" t="s">
        <v>181</v>
      </c>
      <c r="I154" s="9" t="s">
        <v>182</v>
      </c>
      <c r="J154" s="6" t="n">
        <v>1</v>
      </c>
      <c r="K154" s="6" t="s">
        <v>175</v>
      </c>
    </row>
    <row r="155" customFormat="false" ht="23.3" hidden="false" customHeight="false" outlineLevel="0" collapsed="false">
      <c r="A155" s="1" t="s">
        <v>13</v>
      </c>
      <c r="B155" s="1" t="s">
        <v>172</v>
      </c>
      <c r="C155" s="1" t="str">
        <f aca="false">IF(D155="PRE","N/A",
IF(D155="SUP","N/A",
IF(D155="Single-choice",H155,
IF(D155="Single-choice w/ correct",H155,
IF(D155="Series", LEFT(H155,FIND("_",H155)-1) &amp; "_" &amp; MID(H155,FIND("_",H155,FIND("_",H155)+1)+1,999)
)))))</f>
        <v>PRIVFEEL_W127</v>
      </c>
      <c r="D155" s="6" t="s">
        <v>78</v>
      </c>
      <c r="E155" s="7" t="str">
        <f aca="false">IF(D155="PRE","N/A", 
IF(D155="SUP",I155, 
IF(D155="Single-choice",I155, 
IF(D155="Single-choice w/ correct",I155, 
IF(D155="Series", LEFT(I155, FIND("    ",I155)
))))))</f>
        <v>When you think about managing your privacy online, do you feel… </v>
      </c>
      <c r="F155" s="8" t="str">
        <f aca="false">IF(D155="PRE",I155,
IF(D155="SUP",I155,
IF(D155="Single-choice","N/A",
IF(D155="Single-choice w/ correct","N/A",
IF(D155="Series", RIGHT(I155, LEN(I155) - FIND("    ",I155)-3
))))))</f>
        <v>You trust yourself to make the right decisions about your personal information</v>
      </c>
      <c r="G155" s="6" t="s">
        <v>73</v>
      </c>
      <c r="H155" s="10" t="s">
        <v>181</v>
      </c>
      <c r="I155" s="9" t="s">
        <v>182</v>
      </c>
      <c r="J155" s="10" t="n">
        <v>2</v>
      </c>
      <c r="K155" s="10" t="s">
        <v>176</v>
      </c>
    </row>
    <row r="156" customFormat="false" ht="23.3" hidden="false" customHeight="false" outlineLevel="0" collapsed="false">
      <c r="A156" s="1" t="s">
        <v>13</v>
      </c>
      <c r="B156" s="1" t="s">
        <v>172</v>
      </c>
      <c r="C156" s="1" t="str">
        <f aca="false">IF(D156="PRE","N/A",
IF(D156="SUP","N/A",
IF(D156="Single-choice",H156,
IF(D156="Single-choice w/ correct",H156,
IF(D156="Series", LEFT(H156,FIND("_",H156)-1) &amp; "_" &amp; MID(H156,FIND("_",H156,FIND("_",H156)+1)+1,999)
)))))</f>
        <v>PRIVFEEL_W127</v>
      </c>
      <c r="D156" s="6" t="s">
        <v>78</v>
      </c>
      <c r="E156" s="7" t="str">
        <f aca="false">IF(D156="PRE","N/A", 
IF(D156="SUP",I156, 
IF(D156="Single-choice",I156, 
IF(D156="Single-choice w/ correct",I156, 
IF(D156="Series", LEFT(I156, FIND("    ",I156)
))))))</f>
        <v>When you think about managing your privacy online, do you feel… </v>
      </c>
      <c r="F156" s="8" t="str">
        <f aca="false">IF(D156="PRE",I156,
IF(D156="SUP",I156,
IF(D156="Single-choice","N/A",
IF(D156="Single-choice w/ correct","N/A",
IF(D156="Series", RIGHT(I156, LEN(I156) - FIND("    ",I156)-3
))))))</f>
        <v>You trust yourself to make the right decisions about your personal information</v>
      </c>
      <c r="G156" s="6" t="s">
        <v>73</v>
      </c>
      <c r="H156" s="10" t="s">
        <v>181</v>
      </c>
      <c r="I156" s="9" t="s">
        <v>182</v>
      </c>
      <c r="J156" s="10" t="n">
        <v>99</v>
      </c>
      <c r="K156" s="10" t="s">
        <v>64</v>
      </c>
    </row>
    <row r="157" customFormat="false" ht="15" hidden="false" customHeight="true" outlineLevel="0" collapsed="false">
      <c r="A157" s="1" t="s">
        <v>13</v>
      </c>
      <c r="B157" s="1" t="s">
        <v>172</v>
      </c>
      <c r="C157" s="1" t="str">
        <f aca="false">IF(D157="PRE","N/A",
IF(D157="SUP","N/A",
IF(D157="Single-choice",H157,
IF(D157="Single-choice w/ correct",H157,
IF(D157="Series", LEFT(H157,FIND("_",H157)-1) &amp; "_" &amp; MID(H157,FIND("_",H157,FIND("_",H157)+1)+1,999)
)))))</f>
        <v>PRIVFEEL_W127</v>
      </c>
      <c r="D157" s="6" t="s">
        <v>78</v>
      </c>
      <c r="E157" s="7" t="str">
        <f aca="false">IF(D157="PRE","N/A", 
IF(D157="SUP",I157, 
IF(D157="Single-choice",I157, 
IF(D157="Single-choice w/ correct",I157, 
IF(D157="Series", LEFT(I157, FIND("    ",I157)
))))))</f>
        <v>When you think about managing your privacy online, do you feel… </v>
      </c>
      <c r="F157" s="8" t="str">
        <f aca="false">IF(D157="PRE",I157,
IF(D157="SUP",I157,
IF(D157="Single-choice","N/A",
IF(D157="Single-choice w/ correct","N/A",
IF(D157="Series", RIGHT(I157, LEN(I157) - FIND("    ",I157)-3
))))))</f>
        <v>Like privacy is not that big of a deal to you</v>
      </c>
      <c r="G157" s="6" t="s">
        <v>73</v>
      </c>
      <c r="H157" s="6" t="s">
        <v>183</v>
      </c>
      <c r="I157" s="9" t="s">
        <v>184</v>
      </c>
      <c r="J157" s="6" t="n">
        <v>1</v>
      </c>
      <c r="K157" s="6" t="s">
        <v>175</v>
      </c>
    </row>
    <row r="158" customFormat="false" ht="23.3" hidden="false" customHeight="false" outlineLevel="0" collapsed="false">
      <c r="A158" s="1" t="s">
        <v>13</v>
      </c>
      <c r="B158" s="1" t="s">
        <v>172</v>
      </c>
      <c r="C158" s="1" t="str">
        <f aca="false">IF(D158="PRE","N/A",
IF(D158="SUP","N/A",
IF(D158="Single-choice",H158,
IF(D158="Single-choice w/ correct",H158,
IF(D158="Series", LEFT(H158,FIND("_",H158)-1) &amp; "_" &amp; MID(H158,FIND("_",H158,FIND("_",H158)+1)+1,999)
)))))</f>
        <v>PRIVFEEL_W127</v>
      </c>
      <c r="D158" s="6" t="s">
        <v>78</v>
      </c>
      <c r="E158" s="7" t="str">
        <f aca="false">IF(D158="PRE","N/A", 
IF(D158="SUP",I158, 
IF(D158="Single-choice",I158, 
IF(D158="Single-choice w/ correct",I158, 
IF(D158="Series", LEFT(I158, FIND("    ",I158)
))))))</f>
        <v>When you think about managing your privacy online, do you feel… </v>
      </c>
      <c r="F158" s="8" t="str">
        <f aca="false">IF(D158="PRE",I158,
IF(D158="SUP",I158,
IF(D158="Single-choice","N/A",
IF(D158="Single-choice w/ correct","N/A",
IF(D158="Series", RIGHT(I158, LEN(I158) - FIND("    ",I158)-3
))))))</f>
        <v>Like privacy is not that big of a deal to you</v>
      </c>
      <c r="G158" s="6" t="s">
        <v>73</v>
      </c>
      <c r="H158" s="10" t="s">
        <v>183</v>
      </c>
      <c r="I158" s="9" t="s">
        <v>184</v>
      </c>
      <c r="J158" s="10" t="n">
        <v>2</v>
      </c>
      <c r="K158" s="10" t="s">
        <v>176</v>
      </c>
    </row>
    <row r="159" customFormat="false" ht="23.3" hidden="false" customHeight="false" outlineLevel="0" collapsed="false">
      <c r="A159" s="1" t="s">
        <v>13</v>
      </c>
      <c r="B159" s="1" t="s">
        <v>172</v>
      </c>
      <c r="C159" s="1" t="str">
        <f aca="false">IF(D159="PRE","N/A",
IF(D159="SUP","N/A",
IF(D159="Single-choice",H159,
IF(D159="Single-choice w/ correct",H159,
IF(D159="Series", LEFT(H159,FIND("_",H159)-1) &amp; "_" &amp; MID(H159,FIND("_",H159,FIND("_",H159)+1)+1,999)
)))))</f>
        <v>PRIVFEEL_W127</v>
      </c>
      <c r="D159" s="6" t="s">
        <v>78</v>
      </c>
      <c r="E159" s="7" t="str">
        <f aca="false">IF(D159="PRE","N/A", 
IF(D159="SUP",I159, 
IF(D159="Single-choice",I159, 
IF(D159="Single-choice w/ correct",I159, 
IF(D159="Series", LEFT(I159, FIND("    ",I159)
))))))</f>
        <v>When you think about managing your privacy online, do you feel… </v>
      </c>
      <c r="F159" s="8" t="str">
        <f aca="false">IF(D159="PRE",I159,
IF(D159="SUP",I159,
IF(D159="Single-choice","N/A",
IF(D159="Single-choice w/ correct","N/A",
IF(D159="Series", RIGHT(I159, LEN(I159) - FIND("    ",I159)-3
))))))</f>
        <v>Like privacy is not that big of a deal to you</v>
      </c>
      <c r="G159" s="6" t="s">
        <v>73</v>
      </c>
      <c r="H159" s="10" t="s">
        <v>183</v>
      </c>
      <c r="I159" s="9" t="s">
        <v>184</v>
      </c>
      <c r="J159" s="10" t="n">
        <v>99</v>
      </c>
      <c r="K159" s="10" t="s">
        <v>64</v>
      </c>
    </row>
    <row r="160" customFormat="false" ht="15" hidden="false" customHeight="true" outlineLevel="0" collapsed="false">
      <c r="A160" s="1" t="s">
        <v>13</v>
      </c>
      <c r="B160" s="1" t="s">
        <v>172</v>
      </c>
      <c r="C160" s="1" t="str">
        <f aca="false">IF(D160="PRE","N/A",
IF(D160="SUP","N/A",
IF(D160="Single-choice",H160,
IF(D160="Single-choice w/ correct",H160,
IF(D160="Series", LEFT(H160,FIND("_",H160)-1) &amp; "_" &amp; MID(H160,FIND("_",H160,FIND("_",H160)+1)+1,999)
)))))</f>
        <v>PRIVWRY_W127</v>
      </c>
      <c r="D160" s="6" t="s">
        <v>78</v>
      </c>
      <c r="E160" s="7" t="str">
        <f aca="false">IF(D160="PRE","N/A", 
IF(D160="SUP",I160, 
IF(D160="Single-choice",I160, 
IF(D160="Single-choice w/ correct",I160, 
IF(D160="Series", LEFT(I160, FIND("    ",I160)
))))))</f>
        <v>How worried are you about each of the following? </v>
      </c>
      <c r="F160" s="8" t="str">
        <f aca="false">IF(D160="PRE",I160,
IF(D160="SUP",I160,
IF(D160="Single-choice","N/A",
IF(D160="Single-choice w/ correct","N/A",
IF(D160="Series", RIGHT(I160, LEN(I160) - FIND("    ",I160)-3
))))))</f>
        <v>People stealing your identity or personal information</v>
      </c>
      <c r="G160" s="6" t="s">
        <v>56</v>
      </c>
      <c r="H160" s="6" t="s">
        <v>185</v>
      </c>
      <c r="I160" s="9" t="s">
        <v>186</v>
      </c>
      <c r="J160" s="6" t="n">
        <v>1</v>
      </c>
      <c r="K160" s="6" t="s">
        <v>187</v>
      </c>
    </row>
    <row r="161" customFormat="false" ht="23.3" hidden="false" customHeight="false" outlineLevel="0" collapsed="false">
      <c r="A161" s="1" t="s">
        <v>13</v>
      </c>
      <c r="B161" s="1" t="s">
        <v>172</v>
      </c>
      <c r="C161" s="1" t="str">
        <f aca="false">IF(D161="PRE","N/A",
IF(D161="SUP","N/A",
IF(D161="Single-choice",H161,
IF(D161="Single-choice w/ correct",H161,
IF(D161="Series", LEFT(H161,FIND("_",H161)-1) &amp; "_" &amp; MID(H161,FIND("_",H161,FIND("_",H161)+1)+1,999)
)))))</f>
        <v>PRIVWRY_W127</v>
      </c>
      <c r="D161" s="6" t="s">
        <v>78</v>
      </c>
      <c r="E161" s="7" t="str">
        <f aca="false">IF(D161="PRE","N/A", 
IF(D161="SUP",I161, 
IF(D161="Single-choice",I161, 
IF(D161="Single-choice w/ correct",I161, 
IF(D161="Series", LEFT(I161, FIND("    ",I161)
))))))</f>
        <v>How worried are you about each of the following? </v>
      </c>
      <c r="F161" s="8" t="str">
        <f aca="false">IF(D161="PRE",I161,
IF(D161="SUP",I161,
IF(D161="Single-choice","N/A",
IF(D161="Single-choice w/ correct","N/A",
IF(D161="Series", RIGHT(I161, LEN(I161) - FIND("    ",I161)-3
))))))</f>
        <v>People stealing your identity or personal information</v>
      </c>
      <c r="G161" s="6" t="s">
        <v>56</v>
      </c>
      <c r="H161" s="10" t="s">
        <v>185</v>
      </c>
      <c r="I161" s="9" t="s">
        <v>186</v>
      </c>
      <c r="J161" s="10" t="n">
        <v>2</v>
      </c>
      <c r="K161" s="10" t="s">
        <v>188</v>
      </c>
    </row>
    <row r="162" customFormat="false" ht="23.3" hidden="false" customHeight="false" outlineLevel="0" collapsed="false">
      <c r="A162" s="1" t="s">
        <v>13</v>
      </c>
      <c r="B162" s="1" t="s">
        <v>172</v>
      </c>
      <c r="C162" s="1" t="str">
        <f aca="false">IF(D162="PRE","N/A",
IF(D162="SUP","N/A",
IF(D162="Single-choice",H162,
IF(D162="Single-choice w/ correct",H162,
IF(D162="Series", LEFT(H162,FIND("_",H162)-1) &amp; "_" &amp; MID(H162,FIND("_",H162,FIND("_",H162)+1)+1,999)
)))))</f>
        <v>PRIVWRY_W127</v>
      </c>
      <c r="D162" s="6" t="s">
        <v>78</v>
      </c>
      <c r="E162" s="7" t="str">
        <f aca="false">IF(D162="PRE","N/A", 
IF(D162="SUP",I162, 
IF(D162="Single-choice",I162, 
IF(D162="Single-choice w/ correct",I162, 
IF(D162="Series", LEFT(I162, FIND("    ",I162)
))))))</f>
        <v>How worried are you about each of the following? </v>
      </c>
      <c r="F162" s="8" t="str">
        <f aca="false">IF(D162="PRE",I162,
IF(D162="SUP",I162,
IF(D162="Single-choice","N/A",
IF(D162="Single-choice w/ correct","N/A",
IF(D162="Series", RIGHT(I162, LEN(I162) - FIND("    ",I162)-3
))))))</f>
        <v>People stealing your identity or personal information</v>
      </c>
      <c r="G162" s="6" t="s">
        <v>56</v>
      </c>
      <c r="H162" s="10" t="s">
        <v>185</v>
      </c>
      <c r="I162" s="9" t="s">
        <v>186</v>
      </c>
      <c r="J162" s="10" t="n">
        <v>3</v>
      </c>
      <c r="K162" s="10" t="s">
        <v>189</v>
      </c>
    </row>
    <row r="163" customFormat="false" ht="23.3" hidden="false" customHeight="false" outlineLevel="0" collapsed="false">
      <c r="A163" s="1" t="s">
        <v>13</v>
      </c>
      <c r="B163" s="1" t="s">
        <v>172</v>
      </c>
      <c r="C163" s="1" t="str">
        <f aca="false">IF(D163="PRE","N/A",
IF(D163="SUP","N/A",
IF(D163="Single-choice",H163,
IF(D163="Single-choice w/ correct",H163,
IF(D163="Series", LEFT(H163,FIND("_",H163)-1) &amp; "_" &amp; MID(H163,FIND("_",H163,FIND("_",H163)+1)+1,999)
)))))</f>
        <v>PRIVWRY_W127</v>
      </c>
      <c r="D163" s="6" t="s">
        <v>78</v>
      </c>
      <c r="E163" s="7" t="str">
        <f aca="false">IF(D163="PRE","N/A", 
IF(D163="SUP",I163, 
IF(D163="Single-choice",I163, 
IF(D163="Single-choice w/ correct",I163, 
IF(D163="Series", LEFT(I163, FIND("    ",I163)
))))))</f>
        <v>How worried are you about each of the following? </v>
      </c>
      <c r="F163" s="8" t="str">
        <f aca="false">IF(D163="PRE",I163,
IF(D163="SUP",I163,
IF(D163="Single-choice","N/A",
IF(D163="Single-choice w/ correct","N/A",
IF(D163="Series", RIGHT(I163, LEN(I163) - FIND("    ",I163)-3
))))))</f>
        <v>People stealing your identity or personal information</v>
      </c>
      <c r="G163" s="6" t="s">
        <v>56</v>
      </c>
      <c r="H163" s="10" t="s">
        <v>185</v>
      </c>
      <c r="I163" s="9" t="s">
        <v>186</v>
      </c>
      <c r="J163" s="10" t="n">
        <v>4</v>
      </c>
      <c r="K163" s="10" t="s">
        <v>190</v>
      </c>
    </row>
    <row r="164" customFormat="false" ht="23.3" hidden="false" customHeight="false" outlineLevel="0" collapsed="false">
      <c r="A164" s="1" t="s">
        <v>13</v>
      </c>
      <c r="B164" s="1" t="s">
        <v>172</v>
      </c>
      <c r="C164" s="1" t="str">
        <f aca="false">IF(D164="PRE","N/A",
IF(D164="SUP","N/A",
IF(D164="Single-choice",H164,
IF(D164="Single-choice w/ correct",H164,
IF(D164="Series", LEFT(H164,FIND("_",H164)-1) &amp; "_" &amp; MID(H164,FIND("_",H164,FIND("_",H164)+1)+1,999)
)))))</f>
        <v>PRIVWRY_W127</v>
      </c>
      <c r="D164" s="6" t="s">
        <v>78</v>
      </c>
      <c r="E164" s="7" t="str">
        <f aca="false">IF(D164="PRE","N/A", 
IF(D164="SUP",I164, 
IF(D164="Single-choice",I164, 
IF(D164="Single-choice w/ correct",I164, 
IF(D164="Series", LEFT(I164, FIND("    ",I164)
))))))</f>
        <v>How worried are you about each of the following? </v>
      </c>
      <c r="F164" s="8" t="str">
        <f aca="false">IF(D164="PRE",I164,
IF(D164="SUP",I164,
IF(D164="Single-choice","N/A",
IF(D164="Single-choice w/ correct","N/A",
IF(D164="Series", RIGHT(I164, LEN(I164) - FIND("    ",I164)-3
))))))</f>
        <v>People stealing your identity or personal information</v>
      </c>
      <c r="G164" s="6" t="s">
        <v>56</v>
      </c>
      <c r="H164" s="10" t="s">
        <v>185</v>
      </c>
      <c r="I164" s="9" t="s">
        <v>186</v>
      </c>
      <c r="J164" s="10" t="n">
        <v>99</v>
      </c>
      <c r="K164" s="10" t="s">
        <v>64</v>
      </c>
    </row>
    <row r="165" customFormat="false" ht="15" hidden="false" customHeight="true" outlineLevel="0" collapsed="false">
      <c r="A165" s="1" t="s">
        <v>13</v>
      </c>
      <c r="B165" s="1" t="s">
        <v>172</v>
      </c>
      <c r="C165" s="1" t="str">
        <f aca="false">IF(D165="PRE","N/A",
IF(D165="SUP","N/A",
IF(D165="Single-choice",H165,
IF(D165="Single-choice w/ correct",H165,
IF(D165="Series", LEFT(H165,FIND("_",H165)-1) &amp; "_" &amp; MID(H165,FIND("_",H165,FIND("_",H165)+1)+1,999)
)))))</f>
        <v>PRIVWRY_W127</v>
      </c>
      <c r="D165" s="6" t="s">
        <v>78</v>
      </c>
      <c r="E165" s="7" t="str">
        <f aca="false">IF(D165="PRE","N/A", 
IF(D165="SUP",I165, 
IF(D165="Single-choice",I165, 
IF(D165="Single-choice w/ correct",I165, 
IF(D165="Series", LEFT(I165, FIND("    ",I165)
))))))</f>
        <v>How worried are you about each of the following? </v>
      </c>
      <c r="F165" s="8" t="str">
        <f aca="false">IF(D165="PRE",I165,
IF(D165="SUP",I165,
IF(D165="Single-choice","N/A",
IF(D165="Single-choice w/ correct","N/A",
IF(D165="Series", RIGHT(I165, LEN(I165) - FIND("    ",I165)-3
))))))</f>
        <v>Companies selling your information to others without you knowing</v>
      </c>
      <c r="G165" s="6" t="s">
        <v>56</v>
      </c>
      <c r="H165" s="6" t="s">
        <v>191</v>
      </c>
      <c r="I165" s="9" t="s">
        <v>192</v>
      </c>
      <c r="J165" s="6" t="n">
        <v>1</v>
      </c>
      <c r="K165" s="6" t="s">
        <v>187</v>
      </c>
    </row>
    <row r="166" customFormat="false" ht="23.3" hidden="false" customHeight="false" outlineLevel="0" collapsed="false">
      <c r="A166" s="1" t="s">
        <v>13</v>
      </c>
      <c r="B166" s="1" t="s">
        <v>172</v>
      </c>
      <c r="C166" s="1" t="str">
        <f aca="false">IF(D166="PRE","N/A",
IF(D166="SUP","N/A",
IF(D166="Single-choice",H166,
IF(D166="Single-choice w/ correct",H166,
IF(D166="Series", LEFT(H166,FIND("_",H166)-1) &amp; "_" &amp; MID(H166,FIND("_",H166,FIND("_",H166)+1)+1,999)
)))))</f>
        <v>PRIVWRY_W127</v>
      </c>
      <c r="D166" s="6" t="s">
        <v>78</v>
      </c>
      <c r="E166" s="7" t="str">
        <f aca="false">IF(D166="PRE","N/A", 
IF(D166="SUP",I166, 
IF(D166="Single-choice",I166, 
IF(D166="Single-choice w/ correct",I166, 
IF(D166="Series", LEFT(I166, FIND("    ",I166)
))))))</f>
        <v>How worried are you about each of the following? </v>
      </c>
      <c r="F166" s="8" t="str">
        <f aca="false">IF(D166="PRE",I166,
IF(D166="SUP",I166,
IF(D166="Single-choice","N/A",
IF(D166="Single-choice w/ correct","N/A",
IF(D166="Series", RIGHT(I166, LEN(I166) - FIND("    ",I166)-3
))))))</f>
        <v>Companies selling your information to others without you knowing</v>
      </c>
      <c r="G166" s="6" t="s">
        <v>56</v>
      </c>
      <c r="H166" s="10" t="s">
        <v>191</v>
      </c>
      <c r="I166" s="9" t="s">
        <v>192</v>
      </c>
      <c r="J166" s="10" t="n">
        <v>2</v>
      </c>
      <c r="K166" s="10" t="s">
        <v>188</v>
      </c>
    </row>
    <row r="167" customFormat="false" ht="23.3" hidden="false" customHeight="false" outlineLevel="0" collapsed="false">
      <c r="A167" s="1" t="s">
        <v>13</v>
      </c>
      <c r="B167" s="1" t="s">
        <v>172</v>
      </c>
      <c r="C167" s="1" t="str">
        <f aca="false">IF(D167="PRE","N/A",
IF(D167="SUP","N/A",
IF(D167="Single-choice",H167,
IF(D167="Single-choice w/ correct",H167,
IF(D167="Series", LEFT(H167,FIND("_",H167)-1) &amp; "_" &amp; MID(H167,FIND("_",H167,FIND("_",H167)+1)+1,999)
)))))</f>
        <v>PRIVWRY_W127</v>
      </c>
      <c r="D167" s="6" t="s">
        <v>78</v>
      </c>
      <c r="E167" s="7" t="str">
        <f aca="false">IF(D167="PRE","N/A", 
IF(D167="SUP",I167, 
IF(D167="Single-choice",I167, 
IF(D167="Single-choice w/ correct",I167, 
IF(D167="Series", LEFT(I167, FIND("    ",I167)
))))))</f>
        <v>How worried are you about each of the following? </v>
      </c>
      <c r="F167" s="8" t="str">
        <f aca="false">IF(D167="PRE",I167,
IF(D167="SUP",I167,
IF(D167="Single-choice","N/A",
IF(D167="Single-choice w/ correct","N/A",
IF(D167="Series", RIGHT(I167, LEN(I167) - FIND("    ",I167)-3
))))))</f>
        <v>Companies selling your information to others without you knowing</v>
      </c>
      <c r="G167" s="6" t="s">
        <v>56</v>
      </c>
      <c r="H167" s="10" t="s">
        <v>191</v>
      </c>
      <c r="I167" s="9" t="s">
        <v>192</v>
      </c>
      <c r="J167" s="10" t="n">
        <v>3</v>
      </c>
      <c r="K167" s="10" t="s">
        <v>189</v>
      </c>
    </row>
    <row r="168" customFormat="false" ht="23.3" hidden="false" customHeight="false" outlineLevel="0" collapsed="false">
      <c r="A168" s="1" t="s">
        <v>13</v>
      </c>
      <c r="B168" s="1" t="s">
        <v>172</v>
      </c>
      <c r="C168" s="1" t="str">
        <f aca="false">IF(D168="PRE","N/A",
IF(D168="SUP","N/A",
IF(D168="Single-choice",H168,
IF(D168="Single-choice w/ correct",H168,
IF(D168="Series", LEFT(H168,FIND("_",H168)-1) &amp; "_" &amp; MID(H168,FIND("_",H168,FIND("_",H168)+1)+1,999)
)))))</f>
        <v>PRIVWRY_W127</v>
      </c>
      <c r="D168" s="6" t="s">
        <v>78</v>
      </c>
      <c r="E168" s="7" t="str">
        <f aca="false">IF(D168="PRE","N/A", 
IF(D168="SUP",I168, 
IF(D168="Single-choice",I168, 
IF(D168="Single-choice w/ correct",I168, 
IF(D168="Series", LEFT(I168, FIND("    ",I168)
))))))</f>
        <v>How worried are you about each of the following? </v>
      </c>
      <c r="F168" s="8" t="str">
        <f aca="false">IF(D168="PRE",I168,
IF(D168="SUP",I168,
IF(D168="Single-choice","N/A",
IF(D168="Single-choice w/ correct","N/A",
IF(D168="Series", RIGHT(I168, LEN(I168) - FIND("    ",I168)-3
))))))</f>
        <v>Companies selling your information to others without you knowing</v>
      </c>
      <c r="G168" s="6" t="s">
        <v>56</v>
      </c>
      <c r="H168" s="10" t="s">
        <v>191</v>
      </c>
      <c r="I168" s="9" t="s">
        <v>192</v>
      </c>
      <c r="J168" s="10" t="n">
        <v>4</v>
      </c>
      <c r="K168" s="10" t="s">
        <v>190</v>
      </c>
    </row>
    <row r="169" customFormat="false" ht="23.3" hidden="false" customHeight="false" outlineLevel="0" collapsed="false">
      <c r="A169" s="1" t="s">
        <v>13</v>
      </c>
      <c r="B169" s="1" t="s">
        <v>172</v>
      </c>
      <c r="C169" s="1" t="str">
        <f aca="false">IF(D169="PRE","N/A",
IF(D169="SUP","N/A",
IF(D169="Single-choice",H169,
IF(D169="Single-choice w/ correct",H169,
IF(D169="Series", LEFT(H169,FIND("_",H169)-1) &amp; "_" &amp; MID(H169,FIND("_",H169,FIND("_",H169)+1)+1,999)
)))))</f>
        <v>PRIVWRY_W127</v>
      </c>
      <c r="D169" s="6" t="s">
        <v>78</v>
      </c>
      <c r="E169" s="7" t="str">
        <f aca="false">IF(D169="PRE","N/A", 
IF(D169="SUP",I169, 
IF(D169="Single-choice",I169, 
IF(D169="Single-choice w/ correct",I169, 
IF(D169="Series", LEFT(I169, FIND("    ",I169)
))))))</f>
        <v>How worried are you about each of the following? </v>
      </c>
      <c r="F169" s="8" t="str">
        <f aca="false">IF(D169="PRE",I169,
IF(D169="SUP",I169,
IF(D169="Single-choice","N/A",
IF(D169="Single-choice w/ correct","N/A",
IF(D169="Series", RIGHT(I169, LEN(I169) - FIND("    ",I169)-3
))))))</f>
        <v>Companies selling your information to others without you knowing</v>
      </c>
      <c r="G169" s="6" t="s">
        <v>56</v>
      </c>
      <c r="H169" s="10" t="s">
        <v>191</v>
      </c>
      <c r="I169" s="9" t="s">
        <v>192</v>
      </c>
      <c r="J169" s="10" t="n">
        <v>99</v>
      </c>
      <c r="K169" s="10" t="s">
        <v>64</v>
      </c>
    </row>
    <row r="170" customFormat="false" ht="15" hidden="false" customHeight="true" outlineLevel="0" collapsed="false">
      <c r="A170" s="1" t="s">
        <v>13</v>
      </c>
      <c r="B170" s="1" t="s">
        <v>172</v>
      </c>
      <c r="C170" s="1" t="str">
        <f aca="false">IF(D170="PRE","N/A",
IF(D170="SUP","N/A",
IF(D170="Single-choice",H170,
IF(D170="Single-choice w/ correct",H170,
IF(D170="Series", LEFT(H170,FIND("_",H170)-1) &amp; "_" &amp; MID(H170,FIND("_",H170,FIND("_",H170)+1)+1,999)
)))))</f>
        <v>PRIVWRY_W127</v>
      </c>
      <c r="D170" s="6" t="s">
        <v>78</v>
      </c>
      <c r="E170" s="7" t="str">
        <f aca="false">IF(D170="PRE","N/A", 
IF(D170="SUP",I170, 
IF(D170="Single-choice",I170, 
IF(D170="Single-choice w/ correct",I170, 
IF(D170="Series", LEFT(I170, FIND("    ",I170)
))))))</f>
        <v>How worried are you about each of the following? </v>
      </c>
      <c r="F170" s="8" t="str">
        <f aca="false">IF(D170="PRE",I170,
IF(D170="SUP",I170,
IF(D170="Single-choice","N/A",
IF(D170="Single-choice w/ correct","N/A",
IF(D170="Series", RIGHT(I170, LEN(I170) - FIND("    ",I170)-3
))))))</f>
        <v>Law enforcement monitoring what you do online</v>
      </c>
      <c r="G170" s="6" t="s">
        <v>73</v>
      </c>
      <c r="H170" s="6" t="s">
        <v>193</v>
      </c>
      <c r="I170" s="9" t="s">
        <v>194</v>
      </c>
      <c r="J170" s="6" t="n">
        <v>1</v>
      </c>
      <c r="K170" s="6" t="s">
        <v>187</v>
      </c>
    </row>
    <row r="171" customFormat="false" ht="23.3" hidden="false" customHeight="false" outlineLevel="0" collapsed="false">
      <c r="A171" s="1" t="s">
        <v>13</v>
      </c>
      <c r="B171" s="1" t="s">
        <v>172</v>
      </c>
      <c r="C171" s="1" t="str">
        <f aca="false">IF(D171="PRE","N/A",
IF(D171="SUP","N/A",
IF(D171="Single-choice",H171,
IF(D171="Single-choice w/ correct",H171,
IF(D171="Series", LEFT(H171,FIND("_",H171)-1) &amp; "_" &amp; MID(H171,FIND("_",H171,FIND("_",H171)+1)+1,999)
)))))</f>
        <v>PRIVWRY_W127</v>
      </c>
      <c r="D171" s="6" t="s">
        <v>78</v>
      </c>
      <c r="E171" s="7" t="str">
        <f aca="false">IF(D171="PRE","N/A", 
IF(D171="SUP",I171, 
IF(D171="Single-choice",I171, 
IF(D171="Single-choice w/ correct",I171, 
IF(D171="Series", LEFT(I171, FIND("    ",I171)
))))))</f>
        <v>How worried are you about each of the following? </v>
      </c>
      <c r="F171" s="8" t="str">
        <f aca="false">IF(D171="PRE",I171,
IF(D171="SUP",I171,
IF(D171="Single-choice","N/A",
IF(D171="Single-choice w/ correct","N/A",
IF(D171="Series", RIGHT(I171, LEN(I171) - FIND("    ",I171)-3
))))))</f>
        <v>Law enforcement monitoring what you do online</v>
      </c>
      <c r="G171" s="6" t="s">
        <v>73</v>
      </c>
      <c r="H171" s="10" t="s">
        <v>193</v>
      </c>
      <c r="I171" s="9" t="s">
        <v>194</v>
      </c>
      <c r="J171" s="10" t="n">
        <v>2</v>
      </c>
      <c r="K171" s="10" t="s">
        <v>188</v>
      </c>
    </row>
    <row r="172" customFormat="false" ht="23.3" hidden="false" customHeight="false" outlineLevel="0" collapsed="false">
      <c r="A172" s="1" t="s">
        <v>13</v>
      </c>
      <c r="B172" s="1" t="s">
        <v>172</v>
      </c>
      <c r="C172" s="1" t="str">
        <f aca="false">IF(D172="PRE","N/A",
IF(D172="SUP","N/A",
IF(D172="Single-choice",H172,
IF(D172="Single-choice w/ correct",H172,
IF(D172="Series", LEFT(H172,FIND("_",H172)-1) &amp; "_" &amp; MID(H172,FIND("_",H172,FIND("_",H172)+1)+1,999)
)))))</f>
        <v>PRIVWRY_W127</v>
      </c>
      <c r="D172" s="6" t="s">
        <v>78</v>
      </c>
      <c r="E172" s="7" t="str">
        <f aca="false">IF(D172="PRE","N/A", 
IF(D172="SUP",I172, 
IF(D172="Single-choice",I172, 
IF(D172="Single-choice w/ correct",I172, 
IF(D172="Series", LEFT(I172, FIND("    ",I172)
))))))</f>
        <v>How worried are you about each of the following? </v>
      </c>
      <c r="F172" s="8" t="str">
        <f aca="false">IF(D172="PRE",I172,
IF(D172="SUP",I172,
IF(D172="Single-choice","N/A",
IF(D172="Single-choice w/ correct","N/A",
IF(D172="Series", RIGHT(I172, LEN(I172) - FIND("    ",I172)-3
))))))</f>
        <v>Law enforcement monitoring what you do online</v>
      </c>
      <c r="G172" s="6" t="s">
        <v>73</v>
      </c>
      <c r="H172" s="10" t="s">
        <v>193</v>
      </c>
      <c r="I172" s="9" t="s">
        <v>194</v>
      </c>
      <c r="J172" s="10" t="n">
        <v>3</v>
      </c>
      <c r="K172" s="10" t="s">
        <v>189</v>
      </c>
    </row>
    <row r="173" customFormat="false" ht="23.3" hidden="false" customHeight="false" outlineLevel="0" collapsed="false">
      <c r="A173" s="1" t="s">
        <v>13</v>
      </c>
      <c r="B173" s="1" t="s">
        <v>172</v>
      </c>
      <c r="C173" s="1" t="str">
        <f aca="false">IF(D173="PRE","N/A",
IF(D173="SUP","N/A",
IF(D173="Single-choice",H173,
IF(D173="Single-choice w/ correct",H173,
IF(D173="Series", LEFT(H173,FIND("_",H173)-1) &amp; "_" &amp; MID(H173,FIND("_",H173,FIND("_",H173)+1)+1,999)
)))))</f>
        <v>PRIVWRY_W127</v>
      </c>
      <c r="D173" s="6" t="s">
        <v>78</v>
      </c>
      <c r="E173" s="7" t="str">
        <f aca="false">IF(D173="PRE","N/A", 
IF(D173="SUP",I173, 
IF(D173="Single-choice",I173, 
IF(D173="Single-choice w/ correct",I173, 
IF(D173="Series", LEFT(I173, FIND("    ",I173)
))))))</f>
        <v>How worried are you about each of the following? </v>
      </c>
      <c r="F173" s="8" t="str">
        <f aca="false">IF(D173="PRE",I173,
IF(D173="SUP",I173,
IF(D173="Single-choice","N/A",
IF(D173="Single-choice w/ correct","N/A",
IF(D173="Series", RIGHT(I173, LEN(I173) - FIND("    ",I173)-3
))))))</f>
        <v>Law enforcement monitoring what you do online</v>
      </c>
      <c r="G173" s="6" t="s">
        <v>73</v>
      </c>
      <c r="H173" s="10" t="s">
        <v>193</v>
      </c>
      <c r="I173" s="9" t="s">
        <v>194</v>
      </c>
      <c r="J173" s="10" t="n">
        <v>4</v>
      </c>
      <c r="K173" s="10" t="s">
        <v>190</v>
      </c>
    </row>
    <row r="174" customFormat="false" ht="23.3" hidden="false" customHeight="false" outlineLevel="0" collapsed="false">
      <c r="A174" s="1" t="s">
        <v>13</v>
      </c>
      <c r="B174" s="1" t="s">
        <v>172</v>
      </c>
      <c r="C174" s="1" t="str">
        <f aca="false">IF(D174="PRE","N/A",
IF(D174="SUP","N/A",
IF(D174="Single-choice",H174,
IF(D174="Single-choice w/ correct",H174,
IF(D174="Series", LEFT(H174,FIND("_",H174)-1) &amp; "_" &amp; MID(H174,FIND("_",H174,FIND("_",H174)+1)+1,999)
)))))</f>
        <v>PRIVWRY_W127</v>
      </c>
      <c r="D174" s="6" t="s">
        <v>78</v>
      </c>
      <c r="E174" s="7" t="str">
        <f aca="false">IF(D174="PRE","N/A", 
IF(D174="SUP",I174, 
IF(D174="Single-choice",I174, 
IF(D174="Single-choice w/ correct",I174, 
IF(D174="Series", LEFT(I174, FIND("    ",I174)
))))))</f>
        <v>How worried are you about each of the following? </v>
      </c>
      <c r="F174" s="8" t="str">
        <f aca="false">IF(D174="PRE",I174,
IF(D174="SUP",I174,
IF(D174="Single-choice","N/A",
IF(D174="Single-choice w/ correct","N/A",
IF(D174="Series", RIGHT(I174, LEN(I174) - FIND("    ",I174)-3
))))))</f>
        <v>Law enforcement monitoring what you do online</v>
      </c>
      <c r="G174" s="6" t="s">
        <v>73</v>
      </c>
      <c r="H174" s="10" t="s">
        <v>193</v>
      </c>
      <c r="I174" s="9" t="s">
        <v>194</v>
      </c>
      <c r="J174" s="10" t="n">
        <v>99</v>
      </c>
      <c r="K174" s="10" t="s">
        <v>64</v>
      </c>
    </row>
    <row r="175" customFormat="false" ht="15" hidden="false" customHeight="true" outlineLevel="0" collapsed="false">
      <c r="A175" s="1" t="s">
        <v>13</v>
      </c>
      <c r="B175" s="1" t="s">
        <v>172</v>
      </c>
      <c r="C175" s="1" t="str">
        <f aca="false">IF(D175="PRE","N/A",
IF(D175="SUP","N/A",
IF(D175="Single-choice",H175,
IF(D175="Single-choice w/ correct",H175,
IF(D175="Series", LEFT(H175,FIND("_",H175)-1) &amp; "_" &amp; MID(H175,FIND("_",H175,FIND("_",H175)+1)+1,999)
)))))</f>
        <v>CYBCONF_W127</v>
      </c>
      <c r="D175" s="6" t="s">
        <v>55</v>
      </c>
      <c r="E175" s="7" t="str">
        <f aca="false">IF(D175="PRE","N/A", 
IF(D175="SUP",I175, 
IF(D175="Single-choice",I175, 
IF(D175="Single-choice w/ correct",I175, 
IF(D175="Series", LEFT(I175, FIND("    ",I175)
))))))</f>
        <v>How confident are you in knowing what steps to take if your personal information is hacked or stolen online?</v>
      </c>
      <c r="F175" s="8" t="str">
        <f aca="false">IF(D175="PRE",I175,
IF(D175="SUP",I175,
IF(D175="Single-choice","N/A",
IF(D175="Single-choice w/ correct","N/A",
IF(D175="Series", RIGHT(I175, LEN(I175) - FIND("    ",I175)-3
))))))</f>
        <v>N/A</v>
      </c>
      <c r="G175" s="6" t="s">
        <v>73</v>
      </c>
      <c r="H175" s="6" t="s">
        <v>195</v>
      </c>
      <c r="I175" s="9" t="s">
        <v>196</v>
      </c>
      <c r="J175" s="6" t="n">
        <v>1</v>
      </c>
      <c r="K175" s="6" t="s">
        <v>59</v>
      </c>
    </row>
    <row r="176" customFormat="false" ht="23.3" hidden="false" customHeight="false" outlineLevel="0" collapsed="false">
      <c r="A176" s="1" t="s">
        <v>13</v>
      </c>
      <c r="B176" s="1" t="s">
        <v>172</v>
      </c>
      <c r="C176" s="1" t="str">
        <f aca="false">IF(D176="PRE","N/A",
IF(D176="SUP","N/A",
IF(D176="Single-choice",H176,
IF(D176="Single-choice w/ correct",H176,
IF(D176="Series", LEFT(H176,FIND("_",H176)-1) &amp; "_" &amp; MID(H176,FIND("_",H176,FIND("_",H176)+1)+1,999)
)))))</f>
        <v>CYBCONF_W127</v>
      </c>
      <c r="D176" s="10" t="s">
        <v>55</v>
      </c>
      <c r="E176" s="7" t="str">
        <f aca="false">IF(D176="PRE","N/A", 
IF(D176="SUP",I176, 
IF(D176="Single-choice",I176, 
IF(D176="Single-choice w/ correct",I176, 
IF(D176="Series", LEFT(I176, FIND("    ",I176)
))))))</f>
        <v>How confident are you in knowing what steps to take if your personal information is hacked or stolen online?</v>
      </c>
      <c r="F176" s="8" t="str">
        <f aca="false">IF(D176="PRE",I176,
IF(D176="SUP",I176,
IF(D176="Single-choice","N/A",
IF(D176="Single-choice w/ correct","N/A",
IF(D176="Series", RIGHT(I176, LEN(I176) - FIND("    ",I176)-3
))))))</f>
        <v>N/A</v>
      </c>
      <c r="G176" s="10" t="s">
        <v>73</v>
      </c>
      <c r="H176" s="10" t="s">
        <v>195</v>
      </c>
      <c r="I176" s="9" t="s">
        <v>196</v>
      </c>
      <c r="J176" s="10" t="n">
        <v>2</v>
      </c>
      <c r="K176" s="10" t="s">
        <v>60</v>
      </c>
    </row>
    <row r="177" customFormat="false" ht="23.3" hidden="false" customHeight="false" outlineLevel="0" collapsed="false">
      <c r="A177" s="1" t="s">
        <v>13</v>
      </c>
      <c r="B177" s="1" t="s">
        <v>172</v>
      </c>
      <c r="C177" s="1" t="str">
        <f aca="false">IF(D177="PRE","N/A",
IF(D177="SUP","N/A",
IF(D177="Single-choice",H177,
IF(D177="Single-choice w/ correct",H177,
IF(D177="Series", LEFT(H177,FIND("_",H177)-1) &amp; "_" &amp; MID(H177,FIND("_",H177,FIND("_",H177)+1)+1,999)
)))))</f>
        <v>CYBCONF_W127</v>
      </c>
      <c r="D177" s="10" t="s">
        <v>55</v>
      </c>
      <c r="E177" s="7" t="str">
        <f aca="false">IF(D177="PRE","N/A", 
IF(D177="SUP",I177, 
IF(D177="Single-choice",I177, 
IF(D177="Single-choice w/ correct",I177, 
IF(D177="Series", LEFT(I177, FIND("    ",I177)
))))))</f>
        <v>How confident are you in knowing what steps to take if your personal information is hacked or stolen online?</v>
      </c>
      <c r="F177" s="8" t="str">
        <f aca="false">IF(D177="PRE",I177,
IF(D177="SUP",I177,
IF(D177="Single-choice","N/A",
IF(D177="Single-choice w/ correct","N/A",
IF(D177="Series", RIGHT(I177, LEN(I177) - FIND("    ",I177)-3
))))))</f>
        <v>N/A</v>
      </c>
      <c r="G177" s="10" t="s">
        <v>73</v>
      </c>
      <c r="H177" s="10" t="s">
        <v>195</v>
      </c>
      <c r="I177" s="9" t="s">
        <v>196</v>
      </c>
      <c r="J177" s="10" t="n">
        <v>3</v>
      </c>
      <c r="K177" s="10" t="s">
        <v>197</v>
      </c>
    </row>
    <row r="178" customFormat="false" ht="23.3" hidden="false" customHeight="false" outlineLevel="0" collapsed="false">
      <c r="A178" s="1" t="s">
        <v>13</v>
      </c>
      <c r="B178" s="1" t="s">
        <v>172</v>
      </c>
      <c r="C178" s="1" t="str">
        <f aca="false">IF(D178="PRE","N/A",
IF(D178="SUP","N/A",
IF(D178="Single-choice",H178,
IF(D178="Single-choice w/ correct",H178,
IF(D178="Series", LEFT(H178,FIND("_",H178)-1) &amp; "_" &amp; MID(H178,FIND("_",H178,FIND("_",H178)+1)+1,999)
)))))</f>
        <v>CYBCONF_W127</v>
      </c>
      <c r="D178" s="10" t="s">
        <v>55</v>
      </c>
      <c r="E178" s="7" t="str">
        <f aca="false">IF(D178="PRE","N/A", 
IF(D178="SUP",I178, 
IF(D178="Single-choice",I178, 
IF(D178="Single-choice w/ correct",I178, 
IF(D178="Series", LEFT(I178, FIND("    ",I178)
))))))</f>
        <v>How confident are you in knowing what steps to take if your personal information is hacked or stolen online?</v>
      </c>
      <c r="F178" s="8" t="str">
        <f aca="false">IF(D178="PRE",I178,
IF(D178="SUP",I178,
IF(D178="Single-choice","N/A",
IF(D178="Single-choice w/ correct","N/A",
IF(D178="Series", RIGHT(I178, LEN(I178) - FIND("    ",I178)-3
))))))</f>
        <v>N/A</v>
      </c>
      <c r="G178" s="10" t="s">
        <v>73</v>
      </c>
      <c r="H178" s="10" t="s">
        <v>195</v>
      </c>
      <c r="I178" s="9" t="s">
        <v>196</v>
      </c>
      <c r="J178" s="10" t="n">
        <v>4</v>
      </c>
      <c r="K178" s="10" t="s">
        <v>63</v>
      </c>
    </row>
    <row r="179" customFormat="false" ht="23.3" hidden="false" customHeight="false" outlineLevel="0" collapsed="false">
      <c r="A179" s="1" t="s">
        <v>13</v>
      </c>
      <c r="B179" s="1" t="s">
        <v>172</v>
      </c>
      <c r="C179" s="1" t="str">
        <f aca="false">IF(D179="PRE","N/A",
IF(D179="SUP","N/A",
IF(D179="Single-choice",H179,
IF(D179="Single-choice w/ correct",H179,
IF(D179="Series", LEFT(H179,FIND("_",H179)-1) &amp; "_" &amp; MID(H179,FIND("_",H179,FIND("_",H179)+1)+1,999)
)))))</f>
        <v>CYBCONF_W127</v>
      </c>
      <c r="D179" s="10" t="s">
        <v>55</v>
      </c>
      <c r="E179" s="7" t="str">
        <f aca="false">IF(D179="PRE","N/A", 
IF(D179="SUP",I179, 
IF(D179="Single-choice",I179, 
IF(D179="Single-choice w/ correct",I179, 
IF(D179="Series", LEFT(I179, FIND("    ",I179)
))))))</f>
        <v>How confident are you in knowing what steps to take if your personal information is hacked or stolen online?</v>
      </c>
      <c r="F179" s="8" t="str">
        <f aca="false">IF(D179="PRE",I179,
IF(D179="SUP",I179,
IF(D179="Single-choice","N/A",
IF(D179="Single-choice w/ correct","N/A",
IF(D179="Series", RIGHT(I179, LEN(I179) - FIND("    ",I179)-3
))))))</f>
        <v>N/A</v>
      </c>
      <c r="G179" s="10" t="s">
        <v>73</v>
      </c>
      <c r="H179" s="10" t="s">
        <v>195</v>
      </c>
      <c r="I179" s="9" t="s">
        <v>196</v>
      </c>
      <c r="J179" s="10" t="n">
        <v>99</v>
      </c>
      <c r="K179" s="10" t="s">
        <v>64</v>
      </c>
    </row>
    <row r="180" customFormat="false" ht="15" hidden="false" customHeight="true" outlineLevel="0" collapsed="false">
      <c r="A180" s="1" t="s">
        <v>13</v>
      </c>
      <c r="B180" s="1" t="s">
        <v>172</v>
      </c>
      <c r="C180" s="1" t="str">
        <f aca="false">IF(D180="PRE","N/A",
IF(D180="SUP","N/A",
IF(D180="Single-choice",H180,
IF(D180="Single-choice w/ correct",H180,
IF(D180="Series", LEFT(H180,FIND("_",H180)-1) &amp; "_" &amp; MID(H180,FIND("_",H180,FIND("_",H180)+1)+1,999)
)))))</f>
        <v>DB1_W127</v>
      </c>
      <c r="D180" s="6" t="s">
        <v>78</v>
      </c>
      <c r="E180" s="7" t="str">
        <f aca="false">IF(D180="PRE","N/A", 
IF(D180="SUP",I180, 
IF(D180="Single-choice",I180, 
IF(D180="Single-choice w/ correct",I180, 
IF(D180="Series", LEFT(I180, FIND("    ",I180)
))))))</f>
        <v>In the last 12 months, have you had someone… </v>
      </c>
      <c r="F180" s="8" t="str">
        <f aca="false">IF(D180="PRE",I180,
IF(D180="SUP",I180,
IF(D180="Single-choice","N/A",
IF(D180="Single-choice w/ correct","N/A",
IF(D180="Series", RIGHT(I180, LEN(I180) - FIND("    ",I180)-3
))))))</f>
        <v>Put fraudulent charges on your debit or credit card</v>
      </c>
      <c r="G180" s="6" t="s">
        <v>56</v>
      </c>
      <c r="H180" s="6" t="s">
        <v>198</v>
      </c>
      <c r="I180" s="9" t="s">
        <v>199</v>
      </c>
      <c r="J180" s="6" t="n">
        <v>1</v>
      </c>
      <c r="K180" s="6" t="s">
        <v>200</v>
      </c>
    </row>
    <row r="181" customFormat="false" ht="23.3" hidden="false" customHeight="false" outlineLevel="0" collapsed="false">
      <c r="A181" s="1" t="s">
        <v>13</v>
      </c>
      <c r="B181" s="1" t="s">
        <v>172</v>
      </c>
      <c r="C181" s="1" t="str">
        <f aca="false">IF(D181="PRE","N/A",
IF(D181="SUP","N/A",
IF(D181="Single-choice",H181,
IF(D181="Single-choice w/ correct",H181,
IF(D181="Series", LEFT(H181,FIND("_",H181)-1) &amp; "_" &amp; MID(H181,FIND("_",H181,FIND("_",H181)+1)+1,999)
)))))</f>
        <v>DB1_W127</v>
      </c>
      <c r="D181" s="6" t="s">
        <v>78</v>
      </c>
      <c r="E181" s="7" t="str">
        <f aca="false">IF(D181="PRE","N/A", 
IF(D181="SUP",I181, 
IF(D181="Single-choice",I181, 
IF(D181="Single-choice w/ correct",I181, 
IF(D181="Series", LEFT(I181, FIND("    ",I181)
))))))</f>
        <v>In the last 12 months, have you had someone… </v>
      </c>
      <c r="F181" s="8" t="str">
        <f aca="false">IF(D181="PRE",I181,
IF(D181="SUP",I181,
IF(D181="Single-choice","N/A",
IF(D181="Single-choice w/ correct","N/A",
IF(D181="Series", RIGHT(I181, LEN(I181) - FIND("    ",I181)-3
))))))</f>
        <v>Put fraudulent charges on your debit or credit card</v>
      </c>
      <c r="G181" s="6" t="s">
        <v>56</v>
      </c>
      <c r="H181" s="10" t="s">
        <v>198</v>
      </c>
      <c r="I181" s="9" t="s">
        <v>199</v>
      </c>
      <c r="J181" s="10" t="n">
        <v>2</v>
      </c>
      <c r="K181" s="10" t="s">
        <v>201</v>
      </c>
    </row>
    <row r="182" customFormat="false" ht="23.3" hidden="false" customHeight="false" outlineLevel="0" collapsed="false">
      <c r="A182" s="1" t="s">
        <v>13</v>
      </c>
      <c r="B182" s="1" t="s">
        <v>172</v>
      </c>
      <c r="C182" s="1" t="str">
        <f aca="false">IF(D182="PRE","N/A",
IF(D182="SUP","N/A",
IF(D182="Single-choice",H182,
IF(D182="Single-choice w/ correct",H182,
IF(D182="Series", LEFT(H182,FIND("_",H182)-1) &amp; "_" &amp; MID(H182,FIND("_",H182,FIND("_",H182)+1)+1,999)
)))))</f>
        <v>DB1_W127</v>
      </c>
      <c r="D182" s="6" t="s">
        <v>78</v>
      </c>
      <c r="E182" s="7" t="str">
        <f aca="false">IF(D182="PRE","N/A", 
IF(D182="SUP",I182, 
IF(D182="Single-choice",I182, 
IF(D182="Single-choice w/ correct",I182, 
IF(D182="Series", LEFT(I182, FIND("    ",I182)
))))))</f>
        <v>In the last 12 months, have you had someone… </v>
      </c>
      <c r="F182" s="8" t="str">
        <f aca="false">IF(D182="PRE",I182,
IF(D182="SUP",I182,
IF(D182="Single-choice","N/A",
IF(D182="Single-choice w/ correct","N/A",
IF(D182="Series", RIGHT(I182, LEN(I182) - FIND("    ",I182)-3
))))))</f>
        <v>Put fraudulent charges on your debit or credit card</v>
      </c>
      <c r="G182" s="6" t="s">
        <v>56</v>
      </c>
      <c r="H182" s="10" t="s">
        <v>198</v>
      </c>
      <c r="I182" s="9" t="s">
        <v>199</v>
      </c>
      <c r="J182" s="10" t="n">
        <v>99</v>
      </c>
      <c r="K182" s="10" t="s">
        <v>64</v>
      </c>
    </row>
    <row r="183" customFormat="false" ht="15" hidden="false" customHeight="true" outlineLevel="0" collapsed="false">
      <c r="A183" s="1" t="s">
        <v>13</v>
      </c>
      <c r="B183" s="1" t="s">
        <v>172</v>
      </c>
      <c r="C183" s="1" t="str">
        <f aca="false">IF(D183="PRE","N/A",
IF(D183="SUP","N/A",
IF(D183="Single-choice",H183,
IF(D183="Single-choice w/ correct",H183,
IF(D183="Series", LEFT(H183,FIND("_",H183)-1) &amp; "_" &amp; MID(H183,FIND("_",H183,FIND("_",H183)+1)+1,999)
)))))</f>
        <v>DB1_W127</v>
      </c>
      <c r="D183" s="6" t="s">
        <v>78</v>
      </c>
      <c r="E183" s="7" t="str">
        <f aca="false">IF(D183="PRE","N/A", 
IF(D183="SUP",I183, 
IF(D183="Single-choice",I183, 
IF(D183="Single-choice w/ correct",I183, 
IF(D183="Series", LEFT(I183, FIND("    ",I183)
))))))</f>
        <v>In the last 12 months, have you had someone... </v>
      </c>
      <c r="F183" s="8" t="str">
        <f aca="false">IF(D183="PRE",I183,
IF(D183="SUP",I183,
IF(D183="Single-choice","N/A",
IF(D183="Single-choice w/ correct","N/A",
IF(D183="Series", RIGHT(I183, LEN(I183) - FIND("    ",I183)-3
))))))</f>
        <v>Take over your email or social media account without your permission [Backcoded to set tablet HHs to 3, offline]</v>
      </c>
      <c r="G183" s="6" t="s">
        <v>56</v>
      </c>
      <c r="H183" s="6" t="s">
        <v>202</v>
      </c>
      <c r="I183" s="9" t="s">
        <v>203</v>
      </c>
      <c r="J183" s="6" t="n">
        <v>1</v>
      </c>
      <c r="K183" s="6" t="s">
        <v>200</v>
      </c>
    </row>
    <row r="184" customFormat="false" ht="34.75" hidden="false" customHeight="false" outlineLevel="0" collapsed="false">
      <c r="A184" s="1" t="s">
        <v>13</v>
      </c>
      <c r="B184" s="1" t="s">
        <v>172</v>
      </c>
      <c r="C184" s="1" t="str">
        <f aca="false">IF(D184="PRE","N/A",
IF(D184="SUP","N/A",
IF(D184="Single-choice",H184,
IF(D184="Single-choice w/ correct",H184,
IF(D184="Series", LEFT(H184,FIND("_",H184)-1) &amp; "_" &amp; MID(H184,FIND("_",H184,FIND("_",H184)+1)+1,999)
)))))</f>
        <v>DB1_W127</v>
      </c>
      <c r="D184" s="6" t="s">
        <v>78</v>
      </c>
      <c r="E184" s="7" t="str">
        <f aca="false">IF(D184="PRE","N/A", 
IF(D184="SUP",I184, 
IF(D184="Single-choice",I184, 
IF(D184="Single-choice w/ correct",I184, 
IF(D184="Series", LEFT(I184, FIND("    ",I184)
))))))</f>
        <v>In the last 12 months, have you had someone... </v>
      </c>
      <c r="F184" s="8" t="str">
        <f aca="false">IF(D184="PRE",I184,
IF(D184="SUP",I184,
IF(D184="Single-choice","N/A",
IF(D184="Single-choice w/ correct","N/A",
IF(D184="Series", RIGHT(I184, LEN(I184) - FIND("    ",I184)-3
))))))</f>
        <v>Take over your email or social media account without your permission [Backcoded to set tablet HHs to 3, offline]</v>
      </c>
      <c r="G184" s="6" t="s">
        <v>56</v>
      </c>
      <c r="H184" s="10" t="s">
        <v>202</v>
      </c>
      <c r="I184" s="9" t="s">
        <v>203</v>
      </c>
      <c r="J184" s="10" t="n">
        <v>2</v>
      </c>
      <c r="K184" s="10" t="s">
        <v>201</v>
      </c>
    </row>
    <row r="185" customFormat="false" ht="34.75" hidden="false" customHeight="false" outlineLevel="0" collapsed="false">
      <c r="A185" s="1" t="s">
        <v>13</v>
      </c>
      <c r="B185" s="1" t="s">
        <v>172</v>
      </c>
      <c r="C185" s="1" t="str">
        <f aca="false">IF(D185="PRE","N/A",
IF(D185="SUP","N/A",
IF(D185="Single-choice",H185,
IF(D185="Single-choice w/ correct",H185,
IF(D185="Series", LEFT(H185,FIND("_",H185)-1) &amp; "_" &amp; MID(H185,FIND("_",H185,FIND("_",H185)+1)+1,999)
)))))</f>
        <v>DB1_W127</v>
      </c>
      <c r="D185" s="6" t="s">
        <v>78</v>
      </c>
      <c r="E185" s="7" t="str">
        <f aca="false">IF(D185="PRE","N/A", 
IF(D185="SUP",I185, 
IF(D185="Single-choice",I185, 
IF(D185="Single-choice w/ correct",I185, 
IF(D185="Series", LEFT(I185, FIND("    ",I185)
))))))</f>
        <v>In the last 12 months, have you had someone… </v>
      </c>
      <c r="F185" s="8" t="str">
        <f aca="false">IF(D185="PRE",I185,
IF(D185="SUP",I185,
IF(D185="Single-choice","N/A",
IF(D185="Single-choice w/ correct","N/A",
IF(D185="Series", RIGHT(I185, LEN(I185) - FIND("    ",I185)-3
))))))</f>
        <v>Take over your email or social media account without your permission [Backcoded to set tablet HHs to 3, offline]</v>
      </c>
      <c r="G185" s="6" t="s">
        <v>56</v>
      </c>
      <c r="H185" s="10" t="s">
        <v>202</v>
      </c>
      <c r="I185" s="9" t="s">
        <v>204</v>
      </c>
      <c r="J185" s="10" t="n">
        <v>3</v>
      </c>
      <c r="K185" s="10" t="s">
        <v>205</v>
      </c>
    </row>
    <row r="186" customFormat="false" ht="34.75" hidden="false" customHeight="false" outlineLevel="0" collapsed="false">
      <c r="A186" s="1" t="s">
        <v>13</v>
      </c>
      <c r="B186" s="1" t="s">
        <v>172</v>
      </c>
      <c r="C186" s="1" t="str">
        <f aca="false">IF(D186="PRE","N/A",
IF(D186="SUP","N/A",
IF(D186="Single-choice",H186,
IF(D186="Single-choice w/ correct",H186,
IF(D186="Series", LEFT(H186,FIND("_",H186)-1) &amp; "_" &amp; MID(H186,FIND("_",H186,FIND("_",H186)+1)+1,999)
)))))</f>
        <v>DB1_W127</v>
      </c>
      <c r="D186" s="6" t="s">
        <v>78</v>
      </c>
      <c r="E186" s="7" t="str">
        <f aca="false">IF(D186="PRE","N/A", 
IF(D186="SUP",I186, 
IF(D186="Single-choice",I186, 
IF(D186="Single-choice w/ correct",I186, 
IF(D186="Series", LEFT(I186, FIND("    ",I186)
))))))</f>
        <v>In the last 12 months, have you had someone… </v>
      </c>
      <c r="F186" s="8" t="str">
        <f aca="false">IF(D186="PRE",I186,
IF(D186="SUP",I186,
IF(D186="Single-choice","N/A",
IF(D186="Single-choice w/ correct","N/A",
IF(D186="Series", RIGHT(I186, LEN(I186) - FIND("    ",I186)-3
))))))</f>
        <v>Take over your email or social media account without your permission [Backcoded to set tablet HHs to 3, offline]</v>
      </c>
      <c r="G186" s="6" t="s">
        <v>56</v>
      </c>
      <c r="H186" s="10" t="s">
        <v>202</v>
      </c>
      <c r="I186" s="9" t="s">
        <v>204</v>
      </c>
      <c r="J186" s="10" t="n">
        <v>99</v>
      </c>
      <c r="K186" s="10" t="s">
        <v>64</v>
      </c>
    </row>
    <row r="187" customFormat="false" ht="15" hidden="false" customHeight="true" outlineLevel="0" collapsed="false">
      <c r="A187" s="1" t="s">
        <v>13</v>
      </c>
      <c r="B187" s="1" t="s">
        <v>172</v>
      </c>
      <c r="C187" s="1" t="str">
        <f aca="false">IF(D187="PRE","N/A",
IF(D187="SUP","N/A",
IF(D187="Single-choice",H187,
IF(D187="Single-choice w/ correct",H187,
IF(D187="Series", LEFT(H187,FIND("_",H187)-1) &amp; "_" &amp; MID(H187,FIND("_",H187,FIND("_",H187)+1)+1,999)
)))))</f>
        <v>DB1_W127</v>
      </c>
      <c r="D187" s="6" t="s">
        <v>78</v>
      </c>
      <c r="E187" s="7" t="str">
        <f aca="false">IF(D187="PRE","N/A", 
IF(D187="SUP",I187, 
IF(D187="Single-choice",I187, 
IF(D187="Single-choice w/ correct",I187, 
IF(D187="Series", LEFT(I187, FIND("    ",I187)
))))))</f>
        <v>In the last 12 months, have you had someone… </v>
      </c>
      <c r="F187" s="8" t="str">
        <f aca="false">IF(D187="PRE",I187,
IF(D187="SUP",I187,
IF(D187="Single-choice","N/A",
IF(D187="Single-choice w/ correct","N/A",
IF(D187="Series", RIGHT(I187, LEN(I187) - FIND("    ",I187)-3
))))))</f>
        <v>Attempt to open a line of credit or apply for a loan using your name</v>
      </c>
      <c r="G187" s="6" t="s">
        <v>56</v>
      </c>
      <c r="H187" s="6" t="s">
        <v>206</v>
      </c>
      <c r="I187" s="9" t="s">
        <v>207</v>
      </c>
      <c r="J187" s="6" t="n">
        <v>1</v>
      </c>
      <c r="K187" s="6" t="s">
        <v>200</v>
      </c>
    </row>
    <row r="188" customFormat="false" ht="23.3" hidden="false" customHeight="false" outlineLevel="0" collapsed="false">
      <c r="A188" s="1" t="s">
        <v>13</v>
      </c>
      <c r="B188" s="1" t="s">
        <v>172</v>
      </c>
      <c r="C188" s="1" t="str">
        <f aca="false">IF(D188="PRE","N/A",
IF(D188="SUP","N/A",
IF(D188="Single-choice",H188,
IF(D188="Single-choice w/ correct",H188,
IF(D188="Series", LEFT(H188,FIND("_",H188)-1) &amp; "_" &amp; MID(H188,FIND("_",H188,FIND("_",H188)+1)+1,999)
)))))</f>
        <v>DB1_W127</v>
      </c>
      <c r="D188" s="6" t="s">
        <v>78</v>
      </c>
      <c r="E188" s="7" t="str">
        <f aca="false">IF(D188="PRE","N/A", 
IF(D188="SUP",I188, 
IF(D188="Single-choice",I188, 
IF(D188="Single-choice w/ correct",I188, 
IF(D188="Series", LEFT(I188, FIND("    ",I188)
))))))</f>
        <v>In the last 12 months, have you had someone… </v>
      </c>
      <c r="F188" s="8" t="str">
        <f aca="false">IF(D188="PRE",I188,
IF(D188="SUP",I188,
IF(D188="Single-choice","N/A",
IF(D188="Single-choice w/ correct","N/A",
IF(D188="Series", RIGHT(I188, LEN(I188) - FIND("    ",I188)-3
))))))</f>
        <v>Attempt to open a line of credit or apply for a loan using your name</v>
      </c>
      <c r="G188" s="6" t="s">
        <v>56</v>
      </c>
      <c r="H188" s="10" t="s">
        <v>206</v>
      </c>
      <c r="I188" s="9" t="s">
        <v>207</v>
      </c>
      <c r="J188" s="10" t="n">
        <v>2</v>
      </c>
      <c r="K188" s="10" t="s">
        <v>201</v>
      </c>
    </row>
    <row r="189" customFormat="false" ht="23.3" hidden="false" customHeight="false" outlineLevel="0" collapsed="false">
      <c r="A189" s="1" t="s">
        <v>13</v>
      </c>
      <c r="B189" s="1" t="s">
        <v>172</v>
      </c>
      <c r="C189" s="1" t="str">
        <f aca="false">IF(D189="PRE","N/A",
IF(D189="SUP","N/A",
IF(D189="Single-choice",H189,
IF(D189="Single-choice w/ correct",H189,
IF(D189="Series", LEFT(H189,FIND("_",H189)-1) &amp; "_" &amp; MID(H189,FIND("_",H189,FIND("_",H189)+1)+1,999)
)))))</f>
        <v>DB1_W127</v>
      </c>
      <c r="D189" s="6" t="s">
        <v>78</v>
      </c>
      <c r="E189" s="7" t="str">
        <f aca="false">IF(D189="PRE","N/A", 
IF(D189="SUP",I189, 
IF(D189="Single-choice",I189, 
IF(D189="Single-choice w/ correct",I189, 
IF(D189="Series", LEFT(I189, FIND("    ",I189)
))))))</f>
        <v>In the last 12 months, have you had someone… </v>
      </c>
      <c r="F189" s="8" t="str">
        <f aca="false">IF(D189="PRE",I189,
IF(D189="SUP",I189,
IF(D189="Single-choice","N/A",
IF(D189="Single-choice w/ correct","N/A",
IF(D189="Series", RIGHT(I189, LEN(I189) - FIND("    ",I189)-3
))))))</f>
        <v>Attempt to open a line of credit or apply for a loan using your name</v>
      </c>
      <c r="G189" s="6" t="s">
        <v>56</v>
      </c>
      <c r="H189" s="10" t="s">
        <v>206</v>
      </c>
      <c r="I189" s="9" t="s">
        <v>207</v>
      </c>
      <c r="J189" s="10" t="n">
        <v>99</v>
      </c>
      <c r="K189" s="10" t="s">
        <v>64</v>
      </c>
    </row>
    <row r="190" customFormat="false" ht="15" hidden="false" customHeight="true" outlineLevel="0" collapsed="false">
      <c r="A190" s="1" t="s">
        <v>13</v>
      </c>
      <c r="B190" s="1" t="s">
        <v>172</v>
      </c>
      <c r="C190" s="1" t="str">
        <f aca="false">IF(D190="PRE","N/A",
IF(D190="SUP","N/A",
IF(D190="Single-choice",H190,
IF(D190="Single-choice w/ correct",H190,
IF(D190="Series", LEFT(H190,FIND("_",H190)-1) &amp; "_" &amp; MID(H190,FIND("_",H190,FIND("_",H190)+1)+1,999)
)))))</f>
        <v>CONCERNCO_W127</v>
      </c>
      <c r="D190" s="6" t="s">
        <v>55</v>
      </c>
      <c r="E190" s="7" t="str">
        <f aca="false">IF(D190="PRE","N/A", 
IF(D190="SUP",I190, 
IF(D190="Single-choice",I190, 
IF(D190="Single-choice w/ correct",I190, 
IF(D190="Series", LEFT(I190, FIND("    ",I190)
))))))</f>
        <v>How concerned are you about how companies are using the data they collect about you?</v>
      </c>
      <c r="F190" s="8" t="str">
        <f aca="false">IF(D190="PRE",I190,
IF(D190="SUP",I190,
IF(D190="Single-choice","N/A",
IF(D190="Single-choice w/ correct","N/A",
IF(D190="Series", RIGHT(I190, LEN(I190) - FIND("    ",I190)-3
))))))</f>
        <v>N/A</v>
      </c>
      <c r="G190" s="6" t="s">
        <v>56</v>
      </c>
      <c r="H190" s="6" t="s">
        <v>208</v>
      </c>
      <c r="I190" s="9" t="s">
        <v>209</v>
      </c>
      <c r="J190" s="6" t="n">
        <v>1</v>
      </c>
      <c r="K190" s="6" t="s">
        <v>210</v>
      </c>
    </row>
    <row r="191" customFormat="false" ht="23.3" hidden="false" customHeight="false" outlineLevel="0" collapsed="false">
      <c r="A191" s="1" t="s">
        <v>13</v>
      </c>
      <c r="B191" s="1" t="s">
        <v>172</v>
      </c>
      <c r="C191" s="1" t="str">
        <f aca="false">IF(D191="PRE","N/A",
IF(D191="SUP","N/A",
IF(D191="Single-choice",H191,
IF(D191="Single-choice w/ correct",H191,
IF(D191="Series", LEFT(H191,FIND("_",H191)-1) &amp; "_" &amp; MID(H191,FIND("_",H191,FIND("_",H191)+1)+1,999)
)))))</f>
        <v>CONCERNCO_W127</v>
      </c>
      <c r="D191" s="6" t="s">
        <v>55</v>
      </c>
      <c r="E191" s="7" t="str">
        <f aca="false">IF(D191="PRE","N/A", 
IF(D191="SUP",I191, 
IF(D191="Single-choice",I191, 
IF(D191="Single-choice w/ correct",I191, 
IF(D191="Series", LEFT(I191, FIND("    ",I191)
))))))</f>
        <v>How concerned are you about how companies are using the data they collect about you?</v>
      </c>
      <c r="F191" s="8" t="str">
        <f aca="false">IF(D191="PRE",I191,
IF(D191="SUP",I191,
IF(D191="Single-choice","N/A",
IF(D191="Single-choice w/ correct","N/A",
IF(D191="Series", RIGHT(I191, LEN(I191) - FIND("    ",I191)-3
))))))</f>
        <v>N/A</v>
      </c>
      <c r="G191" s="6" t="s">
        <v>56</v>
      </c>
      <c r="H191" s="10" t="s">
        <v>208</v>
      </c>
      <c r="I191" s="9" t="s">
        <v>209</v>
      </c>
      <c r="J191" s="10" t="n">
        <v>2</v>
      </c>
      <c r="K191" s="10" t="s">
        <v>211</v>
      </c>
    </row>
    <row r="192" customFormat="false" ht="23.3" hidden="false" customHeight="false" outlineLevel="0" collapsed="false">
      <c r="A192" s="1" t="s">
        <v>13</v>
      </c>
      <c r="B192" s="1" t="s">
        <v>172</v>
      </c>
      <c r="C192" s="1" t="str">
        <f aca="false">IF(D192="PRE","N/A",
IF(D192="SUP","N/A",
IF(D192="Single-choice",H192,
IF(D192="Single-choice w/ correct",H192,
IF(D192="Series", LEFT(H192,FIND("_",H192)-1) &amp; "_" &amp; MID(H192,FIND("_",H192,FIND("_",H192)+1)+1,999)
)))))</f>
        <v>CONCERNCO_W127</v>
      </c>
      <c r="D192" s="6" t="s">
        <v>55</v>
      </c>
      <c r="E192" s="7" t="str">
        <f aca="false">IF(D192="PRE","N/A", 
IF(D192="SUP",I192, 
IF(D192="Single-choice",I192, 
IF(D192="Single-choice w/ correct",I192, 
IF(D192="Series", LEFT(I192, FIND("    ",I192)
))))))</f>
        <v>How concerned are you about how companies are using the data they collect about you?</v>
      </c>
      <c r="F192" s="8" t="str">
        <f aca="false">IF(D192="PRE",I192,
IF(D192="SUP",I192,
IF(D192="Single-choice","N/A",
IF(D192="Single-choice w/ correct","N/A",
IF(D192="Series", RIGHT(I192, LEN(I192) - FIND("    ",I192)-3
))))))</f>
        <v>N/A</v>
      </c>
      <c r="G192" s="6" t="s">
        <v>56</v>
      </c>
      <c r="H192" s="10" t="s">
        <v>208</v>
      </c>
      <c r="I192" s="9" t="s">
        <v>209</v>
      </c>
      <c r="J192" s="10" t="n">
        <v>3</v>
      </c>
      <c r="K192" s="10" t="s">
        <v>212</v>
      </c>
    </row>
    <row r="193" customFormat="false" ht="23.3" hidden="false" customHeight="false" outlineLevel="0" collapsed="false">
      <c r="A193" s="1" t="s">
        <v>13</v>
      </c>
      <c r="B193" s="1" t="s">
        <v>172</v>
      </c>
      <c r="C193" s="1" t="str">
        <f aca="false">IF(D193="PRE","N/A",
IF(D193="SUP","N/A",
IF(D193="Single-choice",H193,
IF(D193="Single-choice w/ correct",H193,
IF(D193="Series", LEFT(H193,FIND("_",H193)-1) &amp; "_" &amp; MID(H193,FIND("_",H193,FIND("_",H193)+1)+1,999)
)))))</f>
        <v>CONCERNCO_W127</v>
      </c>
      <c r="D193" s="6" t="s">
        <v>55</v>
      </c>
      <c r="E193" s="7" t="str">
        <f aca="false">IF(D193="PRE","N/A", 
IF(D193="SUP",I193, 
IF(D193="Single-choice",I193, 
IF(D193="Single-choice w/ correct",I193, 
IF(D193="Series", LEFT(I193, FIND("    ",I193)
))))))</f>
        <v>How concerned are you about how companies are using the data they collect about you?</v>
      </c>
      <c r="F193" s="8" t="str">
        <f aca="false">IF(D193="PRE",I193,
IF(D193="SUP",I193,
IF(D193="Single-choice","N/A",
IF(D193="Single-choice w/ correct","N/A",
IF(D193="Series", RIGHT(I193, LEN(I193) - FIND("    ",I193)-3
))))))</f>
        <v>N/A</v>
      </c>
      <c r="G193" s="6" t="s">
        <v>56</v>
      </c>
      <c r="H193" s="10" t="s">
        <v>208</v>
      </c>
      <c r="I193" s="9" t="s">
        <v>209</v>
      </c>
      <c r="J193" s="10" t="n">
        <v>4</v>
      </c>
      <c r="K193" s="10" t="s">
        <v>213</v>
      </c>
    </row>
    <row r="194" customFormat="false" ht="23.3" hidden="false" customHeight="false" outlineLevel="0" collapsed="false">
      <c r="A194" s="1" t="s">
        <v>13</v>
      </c>
      <c r="B194" s="1" t="s">
        <v>172</v>
      </c>
      <c r="C194" s="1" t="str">
        <f aca="false">IF(D194="PRE","N/A",
IF(D194="SUP","N/A",
IF(D194="Single-choice",H194,
IF(D194="Single-choice w/ correct",H194,
IF(D194="Series", LEFT(H194,FIND("_",H194)-1) &amp; "_" &amp; MID(H194,FIND("_",H194,FIND("_",H194)+1)+1,999)
)))))</f>
        <v>CONCERNCO_W127</v>
      </c>
      <c r="D194" s="6" t="s">
        <v>55</v>
      </c>
      <c r="E194" s="7" t="str">
        <f aca="false">IF(D194="PRE","N/A", 
IF(D194="SUP",I194, 
IF(D194="Single-choice",I194, 
IF(D194="Single-choice w/ correct",I194, 
IF(D194="Series", LEFT(I194, FIND("    ",I194)
))))))</f>
        <v>How concerned are you about how companies are using the data they collect about you?</v>
      </c>
      <c r="F194" s="8" t="str">
        <f aca="false">IF(D194="PRE",I194,
IF(D194="SUP",I194,
IF(D194="Single-choice","N/A",
IF(D194="Single-choice w/ correct","N/A",
IF(D194="Series", RIGHT(I194, LEN(I194) - FIND("    ",I194)-3
))))))</f>
        <v>N/A</v>
      </c>
      <c r="G194" s="6" t="s">
        <v>56</v>
      </c>
      <c r="H194" s="10" t="s">
        <v>208</v>
      </c>
      <c r="I194" s="9" t="s">
        <v>209</v>
      </c>
      <c r="J194" s="10" t="n">
        <v>99</v>
      </c>
      <c r="K194" s="10" t="s">
        <v>64</v>
      </c>
    </row>
    <row r="195" customFormat="false" ht="15" hidden="false" customHeight="true" outlineLevel="0" collapsed="false">
      <c r="A195" s="1" t="s">
        <v>13</v>
      </c>
      <c r="B195" s="1" t="s">
        <v>172</v>
      </c>
      <c r="C195" s="1" t="str">
        <f aca="false">IF(D195="PRE","N/A",
IF(D195="SUP","N/A",
IF(D195="Single-choice",H195,
IF(D195="Single-choice w/ correct",H195,
IF(D195="Series", LEFT(H195,FIND("_",H195)-1) &amp; "_" &amp; MID(H195,FIND("_",H195,FIND("_",H195)+1)+1,999)
)))))</f>
        <v>CONTROLCO_W127</v>
      </c>
      <c r="D195" s="6" t="s">
        <v>55</v>
      </c>
      <c r="E195" s="7" t="str">
        <f aca="false">IF(D195="PRE","N/A", 
IF(D195="SUP",I195, 
IF(D195="Single-choice",I195, 
IF(D195="Single-choice w/ correct",I195, 
IF(D195="Series", LEFT(I195, FIND("    ",I195)
))))))</f>
        <v>How much control do you think you have over the data that companies collect about you?</v>
      </c>
      <c r="F195" s="8" t="str">
        <f aca="false">IF(D195="PRE",I195,
IF(D195="SUP",I195,
IF(D195="Single-choice","N/A",
IF(D195="Single-choice w/ correct","N/A",
IF(D195="Series", RIGHT(I195, LEN(I195) - FIND("    ",I195)-3
))))))</f>
        <v>N/A</v>
      </c>
      <c r="G195" s="6" t="s">
        <v>56</v>
      </c>
      <c r="H195" s="6" t="s">
        <v>214</v>
      </c>
      <c r="I195" s="9" t="s">
        <v>215</v>
      </c>
      <c r="J195" s="6" t="n">
        <v>1</v>
      </c>
      <c r="K195" s="6" t="s">
        <v>216</v>
      </c>
    </row>
    <row r="196" customFormat="false" ht="23.3" hidden="false" customHeight="false" outlineLevel="0" collapsed="false">
      <c r="A196" s="1" t="s">
        <v>13</v>
      </c>
      <c r="B196" s="1" t="s">
        <v>172</v>
      </c>
      <c r="C196" s="1" t="str">
        <f aca="false">IF(D196="PRE","N/A",
IF(D196="SUP","N/A",
IF(D196="Single-choice",H196,
IF(D196="Single-choice w/ correct",H196,
IF(D196="Series", LEFT(H196,FIND("_",H196)-1) &amp; "_" &amp; MID(H196,FIND("_",H196,FIND("_",H196)+1)+1,999)
)))))</f>
        <v>CONTROLCO_W127</v>
      </c>
      <c r="D196" s="6" t="s">
        <v>55</v>
      </c>
      <c r="E196" s="7" t="str">
        <f aca="false">IF(D196="PRE","N/A", 
IF(D196="SUP",I196, 
IF(D196="Single-choice",I196, 
IF(D196="Single-choice w/ correct",I196, 
IF(D196="Series", LEFT(I196, FIND("    ",I196)
))))))</f>
        <v>How much control do you think you have over the data that companies collect about you?</v>
      </c>
      <c r="F196" s="8" t="str">
        <f aca="false">IF(D196="PRE",I196,
IF(D196="SUP",I196,
IF(D196="Single-choice","N/A",
IF(D196="Single-choice w/ correct","N/A",
IF(D196="Series", RIGHT(I196, LEN(I196) - FIND("    ",I196)-3
))))))</f>
        <v>N/A</v>
      </c>
      <c r="G196" s="6" t="s">
        <v>56</v>
      </c>
      <c r="H196" s="10" t="s">
        <v>214</v>
      </c>
      <c r="I196" s="9" t="s">
        <v>215</v>
      </c>
      <c r="J196" s="10" t="n">
        <v>2</v>
      </c>
      <c r="K196" s="10" t="s">
        <v>217</v>
      </c>
    </row>
    <row r="197" customFormat="false" ht="23.3" hidden="false" customHeight="false" outlineLevel="0" collapsed="false">
      <c r="A197" s="1" t="s">
        <v>13</v>
      </c>
      <c r="B197" s="1" t="s">
        <v>172</v>
      </c>
      <c r="C197" s="1" t="str">
        <f aca="false">IF(D197="PRE","N/A",
IF(D197="SUP","N/A",
IF(D197="Single-choice",H197,
IF(D197="Single-choice w/ correct",H197,
IF(D197="Series", LEFT(H197,FIND("_",H197)-1) &amp; "_" &amp; MID(H197,FIND("_",H197,FIND("_",H197)+1)+1,999)
)))))</f>
        <v>CONTROLCO_W127</v>
      </c>
      <c r="D197" s="6" t="s">
        <v>55</v>
      </c>
      <c r="E197" s="7" t="str">
        <f aca="false">IF(D197="PRE","N/A", 
IF(D197="SUP",I197, 
IF(D197="Single-choice",I197, 
IF(D197="Single-choice w/ correct",I197, 
IF(D197="Series", LEFT(I197, FIND("    ",I197)
))))))</f>
        <v>How much control do you think you have over the data that companies collect about you?</v>
      </c>
      <c r="F197" s="8" t="str">
        <f aca="false">IF(D197="PRE",I197,
IF(D197="SUP",I197,
IF(D197="Single-choice","N/A",
IF(D197="Single-choice w/ correct","N/A",
IF(D197="Series", RIGHT(I197, LEN(I197) - FIND("    ",I197)-3
))))))</f>
        <v>N/A</v>
      </c>
      <c r="G197" s="6" t="s">
        <v>56</v>
      </c>
      <c r="H197" s="10" t="s">
        <v>214</v>
      </c>
      <c r="I197" s="9" t="s">
        <v>215</v>
      </c>
      <c r="J197" s="10" t="n">
        <v>3</v>
      </c>
      <c r="K197" s="10" t="s">
        <v>218</v>
      </c>
    </row>
    <row r="198" customFormat="false" ht="23.3" hidden="false" customHeight="false" outlineLevel="0" collapsed="false">
      <c r="A198" s="1" t="s">
        <v>13</v>
      </c>
      <c r="B198" s="1" t="s">
        <v>172</v>
      </c>
      <c r="C198" s="1" t="str">
        <f aca="false">IF(D198="PRE","N/A",
IF(D198="SUP","N/A",
IF(D198="Single-choice",H198,
IF(D198="Single-choice w/ correct",H198,
IF(D198="Series", LEFT(H198,FIND("_",H198)-1) &amp; "_" &amp; MID(H198,FIND("_",H198,FIND("_",H198)+1)+1,999)
)))))</f>
        <v>CONTROLCO_W127</v>
      </c>
      <c r="D198" s="6" t="s">
        <v>55</v>
      </c>
      <c r="E198" s="7" t="str">
        <f aca="false">IF(D198="PRE","N/A", 
IF(D198="SUP",I198, 
IF(D198="Single-choice",I198, 
IF(D198="Single-choice w/ correct",I198, 
IF(D198="Series", LEFT(I198, FIND("    ",I198)
))))))</f>
        <v>How much control do you think you have over the data that companies collect about you?</v>
      </c>
      <c r="F198" s="8" t="str">
        <f aca="false">IF(D198="PRE",I198,
IF(D198="SUP",I198,
IF(D198="Single-choice","N/A",
IF(D198="Single-choice w/ correct","N/A",
IF(D198="Series", RIGHT(I198, LEN(I198) - FIND("    ",I198)-3
))))))</f>
        <v>N/A</v>
      </c>
      <c r="G198" s="6" t="s">
        <v>56</v>
      </c>
      <c r="H198" s="10" t="s">
        <v>214</v>
      </c>
      <c r="I198" s="9" t="s">
        <v>215</v>
      </c>
      <c r="J198" s="10" t="n">
        <v>4</v>
      </c>
      <c r="K198" s="10" t="s">
        <v>219</v>
      </c>
    </row>
    <row r="199" customFormat="false" ht="23.3" hidden="false" customHeight="false" outlineLevel="0" collapsed="false">
      <c r="A199" s="1" t="s">
        <v>13</v>
      </c>
      <c r="B199" s="1" t="s">
        <v>172</v>
      </c>
      <c r="C199" s="1" t="str">
        <f aca="false">IF(D199="PRE","N/A",
IF(D199="SUP","N/A",
IF(D199="Single-choice",H199,
IF(D199="Single-choice w/ correct",H199,
IF(D199="Series", LEFT(H199,FIND("_",H199)-1) &amp; "_" &amp; MID(H199,FIND("_",H199,FIND("_",H199)+1)+1,999)
)))))</f>
        <v>CONTROLCO_W127</v>
      </c>
      <c r="D199" s="6" t="s">
        <v>55</v>
      </c>
      <c r="E199" s="7" t="str">
        <f aca="false">IF(D199="PRE","N/A", 
IF(D199="SUP",I199, 
IF(D199="Single-choice",I199, 
IF(D199="Single-choice w/ correct",I199, 
IF(D199="Series", LEFT(I199, FIND("    ",I199)
))))))</f>
        <v>How much control do you think you have over the data that companies collect about you?</v>
      </c>
      <c r="F199" s="8" t="str">
        <f aca="false">IF(D199="PRE",I199,
IF(D199="SUP",I199,
IF(D199="Single-choice","N/A",
IF(D199="Single-choice w/ correct","N/A",
IF(D199="Series", RIGHT(I199, LEN(I199) - FIND("    ",I199)-3
))))))</f>
        <v>N/A</v>
      </c>
      <c r="G199" s="6" t="s">
        <v>56</v>
      </c>
      <c r="H199" s="10" t="s">
        <v>214</v>
      </c>
      <c r="I199" s="9" t="s">
        <v>215</v>
      </c>
      <c r="J199" s="10" t="n">
        <v>99</v>
      </c>
      <c r="K199" s="10" t="s">
        <v>64</v>
      </c>
    </row>
    <row r="200" customFormat="false" ht="15" hidden="false" customHeight="true" outlineLevel="0" collapsed="false">
      <c r="A200" s="1" t="s">
        <v>13</v>
      </c>
      <c r="B200" s="1" t="s">
        <v>172</v>
      </c>
      <c r="C200" s="1" t="str">
        <f aca="false">IF(D200="PRE","N/A",
IF(D200="SUP","N/A",
IF(D200="Single-choice",H200,
IF(D200="Single-choice w/ correct",H200,
IF(D200="Series", LEFT(H200,FIND("_",H200)-1) &amp; "_" &amp; MID(H200,FIND("_",H200,FIND("_",H200)+1)+1,999)
)))))</f>
        <v>UNDERSTANDCO_W127</v>
      </c>
      <c r="D200" s="6" t="s">
        <v>55</v>
      </c>
      <c r="E200" s="7" t="str">
        <f aca="false">IF(D200="PRE","N/A", 
IF(D200="SUP",I200, 
IF(D200="Single-choice",I200, 
IF(D200="Single-choice w/ correct",I200, 
IF(D200="Series", LEFT(I200, FIND("    ",I200)
))))))</f>
        <v>How much do you feel you understand what companies are doing with the data they collect about you?</v>
      </c>
      <c r="F200" s="8" t="str">
        <f aca="false">IF(D200="PRE",I200,
IF(D200="SUP",I200,
IF(D200="Single-choice","N/A",
IF(D200="Single-choice w/ correct","N/A",
IF(D200="Series", RIGHT(I200, LEN(I200) - FIND("    ",I200)-3
))))))</f>
        <v>N/A</v>
      </c>
      <c r="G200" s="6" t="s">
        <v>56</v>
      </c>
      <c r="H200" s="6" t="s">
        <v>220</v>
      </c>
      <c r="I200" s="9" t="s">
        <v>221</v>
      </c>
      <c r="J200" s="6" t="n">
        <v>1</v>
      </c>
      <c r="K200" s="6" t="s">
        <v>222</v>
      </c>
    </row>
    <row r="201" customFormat="false" ht="23.3" hidden="false" customHeight="false" outlineLevel="0" collapsed="false">
      <c r="A201" s="1" t="s">
        <v>13</v>
      </c>
      <c r="B201" s="1" t="s">
        <v>172</v>
      </c>
      <c r="C201" s="1" t="str">
        <f aca="false">IF(D201="PRE","N/A",
IF(D201="SUP","N/A",
IF(D201="Single-choice",H201,
IF(D201="Single-choice w/ correct",H201,
IF(D201="Series", LEFT(H201,FIND("_",H201)-1) &amp; "_" &amp; MID(H201,FIND("_",H201,FIND("_",H201)+1)+1,999)
)))))</f>
        <v>UNDERSTANDCO_W127</v>
      </c>
      <c r="D201" s="6" t="s">
        <v>55</v>
      </c>
      <c r="E201" s="7" t="str">
        <f aca="false">IF(D201="PRE","N/A", 
IF(D201="SUP",I201, 
IF(D201="Single-choice",I201, 
IF(D201="Single-choice w/ correct",I201, 
IF(D201="Series", LEFT(I201, FIND("    ",I201)
))))))</f>
        <v>How much do you feel you understand what companies are doing with the data they collect about you?</v>
      </c>
      <c r="F201" s="8" t="str">
        <f aca="false">IF(D201="PRE",I201,
IF(D201="SUP",I201,
IF(D201="Single-choice","N/A",
IF(D201="Single-choice w/ correct","N/A",
IF(D201="Series", RIGHT(I201, LEN(I201) - FIND("    ",I201)-3
))))))</f>
        <v>N/A</v>
      </c>
      <c r="G201" s="6" t="s">
        <v>56</v>
      </c>
      <c r="H201" s="10" t="s">
        <v>220</v>
      </c>
      <c r="I201" s="9" t="s">
        <v>221</v>
      </c>
      <c r="J201" s="10" t="n">
        <v>2</v>
      </c>
      <c r="K201" s="10" t="s">
        <v>223</v>
      </c>
    </row>
    <row r="202" customFormat="false" ht="23.3" hidden="false" customHeight="false" outlineLevel="0" collapsed="false">
      <c r="A202" s="1" t="s">
        <v>13</v>
      </c>
      <c r="B202" s="1" t="s">
        <v>172</v>
      </c>
      <c r="C202" s="1" t="str">
        <f aca="false">IF(D202="PRE","N/A",
IF(D202="SUP","N/A",
IF(D202="Single-choice",H202,
IF(D202="Single-choice w/ correct",H202,
IF(D202="Series", LEFT(H202,FIND("_",H202)-1) &amp; "_" &amp; MID(H202,FIND("_",H202,FIND("_",H202)+1)+1,999)
)))))</f>
        <v>UNDERSTANDCO_W127</v>
      </c>
      <c r="D202" s="6" t="s">
        <v>55</v>
      </c>
      <c r="E202" s="7" t="str">
        <f aca="false">IF(D202="PRE","N/A", 
IF(D202="SUP",I202, 
IF(D202="Single-choice",I202, 
IF(D202="Single-choice w/ correct",I202, 
IF(D202="Series", LEFT(I202, FIND("    ",I202)
))))))</f>
        <v>How much do you feel you understand what companies are doing with the data they collect about you?</v>
      </c>
      <c r="F202" s="8" t="str">
        <f aca="false">IF(D202="PRE",I202,
IF(D202="SUP",I202,
IF(D202="Single-choice","N/A",
IF(D202="Single-choice w/ correct","N/A",
IF(D202="Series", RIGHT(I202, LEN(I202) - FIND("    ",I202)-3
))))))</f>
        <v>N/A</v>
      </c>
      <c r="G202" s="6" t="s">
        <v>56</v>
      </c>
      <c r="H202" s="10" t="s">
        <v>220</v>
      </c>
      <c r="I202" s="9" t="s">
        <v>221</v>
      </c>
      <c r="J202" s="10" t="n">
        <v>3</v>
      </c>
      <c r="K202" s="10" t="s">
        <v>224</v>
      </c>
    </row>
    <row r="203" customFormat="false" ht="23.3" hidden="false" customHeight="false" outlineLevel="0" collapsed="false">
      <c r="A203" s="1" t="s">
        <v>13</v>
      </c>
      <c r="B203" s="1" t="s">
        <v>172</v>
      </c>
      <c r="C203" s="1" t="str">
        <f aca="false">IF(D203="PRE","N/A",
IF(D203="SUP","N/A",
IF(D203="Single-choice",H203,
IF(D203="Single-choice w/ correct",H203,
IF(D203="Series", LEFT(H203,FIND("_",H203)-1) &amp; "_" &amp; MID(H203,FIND("_",H203,FIND("_",H203)+1)+1,999)
)))))</f>
        <v>UNDERSTANDCO_W127</v>
      </c>
      <c r="D203" s="6" t="s">
        <v>55</v>
      </c>
      <c r="E203" s="7" t="str">
        <f aca="false">IF(D203="PRE","N/A", 
IF(D203="SUP",I203, 
IF(D203="Single-choice",I203, 
IF(D203="Single-choice w/ correct",I203, 
IF(D203="Series", LEFT(I203, FIND("    ",I203)
))))))</f>
        <v>How much do you feel you understand what companies are doing with the data they collect about you?</v>
      </c>
      <c r="F203" s="8" t="str">
        <f aca="false">IF(D203="PRE",I203,
IF(D203="SUP",I203,
IF(D203="Single-choice","N/A",
IF(D203="Single-choice w/ correct","N/A",
IF(D203="Series", RIGHT(I203, LEN(I203) - FIND("    ",I203)-3
))))))</f>
        <v>N/A</v>
      </c>
      <c r="G203" s="6" t="s">
        <v>56</v>
      </c>
      <c r="H203" s="10" t="s">
        <v>220</v>
      </c>
      <c r="I203" s="9" t="s">
        <v>221</v>
      </c>
      <c r="J203" s="10" t="n">
        <v>4</v>
      </c>
      <c r="K203" s="10" t="s">
        <v>225</v>
      </c>
    </row>
    <row r="204" customFormat="false" ht="23.3" hidden="false" customHeight="false" outlineLevel="0" collapsed="false">
      <c r="A204" s="1" t="s">
        <v>13</v>
      </c>
      <c r="B204" s="1" t="s">
        <v>172</v>
      </c>
      <c r="C204" s="1" t="str">
        <f aca="false">IF(D204="PRE","N/A",
IF(D204="SUP","N/A",
IF(D204="Single-choice",H204,
IF(D204="Single-choice w/ correct",H204,
IF(D204="Series", LEFT(H204,FIND("_",H204)-1) &amp; "_" &amp; MID(H204,FIND("_",H204,FIND("_",H204)+1)+1,999)
)))))</f>
        <v>UNDERSTANDCO_W127</v>
      </c>
      <c r="D204" s="6" t="s">
        <v>55</v>
      </c>
      <c r="E204" s="7" t="str">
        <f aca="false">IF(D204="PRE","N/A", 
IF(D204="SUP",I204, 
IF(D204="Single-choice",I204, 
IF(D204="Single-choice w/ correct",I204, 
IF(D204="Series", LEFT(I204, FIND("    ",I204)
))))))</f>
        <v>How much do you feel you understand what companies are doing with the data they collect about you?</v>
      </c>
      <c r="F204" s="8" t="str">
        <f aca="false">IF(D204="PRE",I204,
IF(D204="SUP",I204,
IF(D204="Single-choice","N/A",
IF(D204="Single-choice w/ correct","N/A",
IF(D204="Series", RIGHT(I204, LEN(I204) - FIND("    ",I204)-3
))))))</f>
        <v>N/A</v>
      </c>
      <c r="G204" s="6" t="s">
        <v>56</v>
      </c>
      <c r="H204" s="10" t="s">
        <v>220</v>
      </c>
      <c r="I204" s="9" t="s">
        <v>221</v>
      </c>
      <c r="J204" s="10" t="n">
        <v>99</v>
      </c>
      <c r="K204" s="10" t="s">
        <v>64</v>
      </c>
    </row>
    <row r="205" customFormat="false" ht="15" hidden="false" customHeight="true" outlineLevel="0" collapsed="false">
      <c r="A205" s="1" t="s">
        <v>13</v>
      </c>
      <c r="B205" s="1" t="s">
        <v>172</v>
      </c>
      <c r="C205" s="1" t="str">
        <f aca="false">IF(D205="PRE","N/A",
IF(D205="SUP","N/A",
IF(D205="Single-choice",H205,
IF(D205="Single-choice w/ correct",H205,
IF(D205="Series", LEFT(H205,FIND("_",H205)-1) &amp; "_" &amp; MID(H205,FIND("_",H205,FIND("_",H205)+1)+1,999)
)))))</f>
        <v>CONCERNGOV_W127</v>
      </c>
      <c r="D205" s="6" t="s">
        <v>55</v>
      </c>
      <c r="E205" s="7" t="str">
        <f aca="false">IF(D205="PRE","N/A", 
IF(D205="SUP",I205, 
IF(D205="Single-choice",I205, 
IF(D205="Single-choice w/ correct",I205, 
IF(D205="Series", LEFT(I205, FIND("    ",I205)
))))))</f>
        <v>How concerned are you about how the government is using the data it collects about you?</v>
      </c>
      <c r="F205" s="8" t="str">
        <f aca="false">IF(D205="PRE",I205,
IF(D205="SUP",I205,
IF(D205="Single-choice","N/A",
IF(D205="Single-choice w/ correct","N/A",
IF(D205="Series", RIGHT(I205, LEN(I205) - FIND("    ",I205)-3
))))))</f>
        <v>N/A</v>
      </c>
      <c r="G205" s="6" t="s">
        <v>56</v>
      </c>
      <c r="H205" s="6" t="s">
        <v>226</v>
      </c>
      <c r="I205" s="9" t="s">
        <v>227</v>
      </c>
      <c r="J205" s="6" t="n">
        <v>1</v>
      </c>
      <c r="K205" s="6" t="s">
        <v>210</v>
      </c>
    </row>
    <row r="206" customFormat="false" ht="23.3" hidden="false" customHeight="false" outlineLevel="0" collapsed="false">
      <c r="A206" s="1" t="s">
        <v>13</v>
      </c>
      <c r="B206" s="1" t="s">
        <v>172</v>
      </c>
      <c r="C206" s="1" t="str">
        <f aca="false">IF(D206="PRE","N/A",
IF(D206="SUP","N/A",
IF(D206="Single-choice",H206,
IF(D206="Single-choice w/ correct",H206,
IF(D206="Series", LEFT(H206,FIND("_",H206)-1) &amp; "_" &amp; MID(H206,FIND("_",H206,FIND("_",H206)+1)+1,999)
)))))</f>
        <v>CONCERNGOV_W127</v>
      </c>
      <c r="D206" s="6" t="s">
        <v>55</v>
      </c>
      <c r="E206" s="7" t="str">
        <f aca="false">IF(D206="PRE","N/A", 
IF(D206="SUP",I206, 
IF(D206="Single-choice",I206, 
IF(D206="Single-choice w/ correct",I206, 
IF(D206="Series", LEFT(I206, FIND("    ",I206)
))))))</f>
        <v>How concerned are you about how the government is using the data it collects about you?</v>
      </c>
      <c r="F206" s="8" t="str">
        <f aca="false">IF(D206="PRE",I206,
IF(D206="SUP",I206,
IF(D206="Single-choice","N/A",
IF(D206="Single-choice w/ correct","N/A",
IF(D206="Series", RIGHT(I206, LEN(I206) - FIND("    ",I206)-3
))))))</f>
        <v>N/A</v>
      </c>
      <c r="G206" s="6" t="s">
        <v>56</v>
      </c>
      <c r="H206" s="10" t="s">
        <v>226</v>
      </c>
      <c r="I206" s="9" t="s">
        <v>227</v>
      </c>
      <c r="J206" s="10" t="n">
        <v>2</v>
      </c>
      <c r="K206" s="10" t="s">
        <v>211</v>
      </c>
    </row>
    <row r="207" customFormat="false" ht="23.3" hidden="false" customHeight="false" outlineLevel="0" collapsed="false">
      <c r="A207" s="1" t="s">
        <v>13</v>
      </c>
      <c r="B207" s="1" t="s">
        <v>172</v>
      </c>
      <c r="C207" s="1" t="str">
        <f aca="false">IF(D207="PRE","N/A",
IF(D207="SUP","N/A",
IF(D207="Single-choice",H207,
IF(D207="Single-choice w/ correct",H207,
IF(D207="Series", LEFT(H207,FIND("_",H207)-1) &amp; "_" &amp; MID(H207,FIND("_",H207,FIND("_",H207)+1)+1,999)
)))))</f>
        <v>CONCERNGOV_W127</v>
      </c>
      <c r="D207" s="6" t="s">
        <v>55</v>
      </c>
      <c r="E207" s="7" t="str">
        <f aca="false">IF(D207="PRE","N/A", 
IF(D207="SUP",I207, 
IF(D207="Single-choice",I207, 
IF(D207="Single-choice w/ correct",I207, 
IF(D207="Series", LEFT(I207, FIND("    ",I207)
))))))</f>
        <v>How concerned are you about how the government is using the data it collects about you?</v>
      </c>
      <c r="F207" s="8" t="str">
        <f aca="false">IF(D207="PRE",I207,
IF(D207="SUP",I207,
IF(D207="Single-choice","N/A",
IF(D207="Single-choice w/ correct","N/A",
IF(D207="Series", RIGHT(I207, LEN(I207) - FIND("    ",I207)-3
))))))</f>
        <v>N/A</v>
      </c>
      <c r="G207" s="6" t="s">
        <v>56</v>
      </c>
      <c r="H207" s="10" t="s">
        <v>226</v>
      </c>
      <c r="I207" s="9" t="s">
        <v>227</v>
      </c>
      <c r="J207" s="10" t="n">
        <v>3</v>
      </c>
      <c r="K207" s="10" t="s">
        <v>212</v>
      </c>
    </row>
    <row r="208" customFormat="false" ht="23.3" hidden="false" customHeight="false" outlineLevel="0" collapsed="false">
      <c r="A208" s="1" t="s">
        <v>13</v>
      </c>
      <c r="B208" s="1" t="s">
        <v>172</v>
      </c>
      <c r="C208" s="1" t="str">
        <f aca="false">IF(D208="PRE","N/A",
IF(D208="SUP","N/A",
IF(D208="Single-choice",H208,
IF(D208="Single-choice w/ correct",H208,
IF(D208="Series", LEFT(H208,FIND("_",H208)-1) &amp; "_" &amp; MID(H208,FIND("_",H208,FIND("_",H208)+1)+1,999)
)))))</f>
        <v>CONCERNGOV_W127</v>
      </c>
      <c r="D208" s="6" t="s">
        <v>55</v>
      </c>
      <c r="E208" s="7" t="str">
        <f aca="false">IF(D208="PRE","N/A", 
IF(D208="SUP",I208, 
IF(D208="Single-choice",I208, 
IF(D208="Single-choice w/ correct",I208, 
IF(D208="Series", LEFT(I208, FIND("    ",I208)
))))))</f>
        <v>How concerned are you about how the government is using the data it collects about you?</v>
      </c>
      <c r="F208" s="8" t="str">
        <f aca="false">IF(D208="PRE",I208,
IF(D208="SUP",I208,
IF(D208="Single-choice","N/A",
IF(D208="Single-choice w/ correct","N/A",
IF(D208="Series", RIGHT(I208, LEN(I208) - FIND("    ",I208)-3
))))))</f>
        <v>N/A</v>
      </c>
      <c r="G208" s="6" t="s">
        <v>56</v>
      </c>
      <c r="H208" s="10" t="s">
        <v>226</v>
      </c>
      <c r="I208" s="9" t="s">
        <v>227</v>
      </c>
      <c r="J208" s="10" t="n">
        <v>4</v>
      </c>
      <c r="K208" s="10" t="s">
        <v>213</v>
      </c>
    </row>
    <row r="209" customFormat="false" ht="23.3" hidden="false" customHeight="false" outlineLevel="0" collapsed="false">
      <c r="A209" s="1" t="s">
        <v>13</v>
      </c>
      <c r="B209" s="1" t="s">
        <v>172</v>
      </c>
      <c r="C209" s="1" t="str">
        <f aca="false">IF(D209="PRE","N/A",
IF(D209="SUP","N/A",
IF(D209="Single-choice",H209,
IF(D209="Single-choice w/ correct",H209,
IF(D209="Series", LEFT(H209,FIND("_",H209)-1) &amp; "_" &amp; MID(H209,FIND("_",H209,FIND("_",H209)+1)+1,999)
)))))</f>
        <v>CONCERNGOV_W127</v>
      </c>
      <c r="D209" s="6" t="s">
        <v>55</v>
      </c>
      <c r="E209" s="7" t="str">
        <f aca="false">IF(D209="PRE","N/A", 
IF(D209="SUP",I209, 
IF(D209="Single-choice",I209, 
IF(D209="Single-choice w/ correct",I209, 
IF(D209="Series", LEFT(I209, FIND("    ",I209)
))))))</f>
        <v>How concerned are you about how the government is using the data it collects about you?</v>
      </c>
      <c r="F209" s="8" t="str">
        <f aca="false">IF(D209="PRE",I209,
IF(D209="SUP",I209,
IF(D209="Single-choice","N/A",
IF(D209="Single-choice w/ correct","N/A",
IF(D209="Series", RIGHT(I209, LEN(I209) - FIND("    ",I209)-3
))))))</f>
        <v>N/A</v>
      </c>
      <c r="G209" s="6" t="s">
        <v>56</v>
      </c>
      <c r="H209" s="10" t="s">
        <v>226</v>
      </c>
      <c r="I209" s="9" t="s">
        <v>227</v>
      </c>
      <c r="J209" s="10" t="n">
        <v>99</v>
      </c>
      <c r="K209" s="10" t="s">
        <v>64</v>
      </c>
    </row>
    <row r="210" customFormat="false" ht="15" hidden="false" customHeight="true" outlineLevel="0" collapsed="false">
      <c r="A210" s="1" t="s">
        <v>13</v>
      </c>
      <c r="B210" s="1" t="s">
        <v>172</v>
      </c>
      <c r="C210" s="1" t="str">
        <f aca="false">IF(D210="PRE","N/A",
IF(D210="SUP","N/A",
IF(D210="Single-choice",H210,
IF(D210="Single-choice w/ correct",H210,
IF(D210="Series", LEFT(H210,FIND("_",H210)-1) &amp; "_" &amp; MID(H210,FIND("_",H210,FIND("_",H210)+1)+1,999)
)))))</f>
        <v>CONTROLGOV_W127</v>
      </c>
      <c r="D210" s="6" t="s">
        <v>55</v>
      </c>
      <c r="E210" s="7" t="str">
        <f aca="false">IF(D210="PRE","N/A", 
IF(D210="SUP",I210, 
IF(D210="Single-choice",I210, 
IF(D210="Single-choice w/ correct",I210, 
IF(D210="Series", LEFT(I210, FIND("    ",I210)
))))))</f>
        <v>How much control do you think you have over the data the government collects about you?</v>
      </c>
      <c r="F210" s="8" t="str">
        <f aca="false">IF(D210="PRE",I210,
IF(D210="SUP",I210,
IF(D210="Single-choice","N/A",
IF(D210="Single-choice w/ correct","N/A",
IF(D210="Series", RIGHT(I210, LEN(I210) - FIND("    ",I210)-3
))))))</f>
        <v>N/A</v>
      </c>
      <c r="G210" s="6" t="s">
        <v>56</v>
      </c>
      <c r="H210" s="6" t="s">
        <v>228</v>
      </c>
      <c r="I210" s="9" t="s">
        <v>229</v>
      </c>
      <c r="J210" s="6" t="n">
        <v>1</v>
      </c>
      <c r="K210" s="6" t="s">
        <v>216</v>
      </c>
    </row>
    <row r="211" customFormat="false" ht="23.3" hidden="false" customHeight="false" outlineLevel="0" collapsed="false">
      <c r="A211" s="1" t="s">
        <v>13</v>
      </c>
      <c r="B211" s="1" t="s">
        <v>172</v>
      </c>
      <c r="C211" s="1" t="str">
        <f aca="false">IF(D211="PRE","N/A",
IF(D211="SUP","N/A",
IF(D211="Single-choice",H211,
IF(D211="Single-choice w/ correct",H211,
IF(D211="Series", LEFT(H211,FIND("_",H211)-1) &amp; "_" &amp; MID(H211,FIND("_",H211,FIND("_",H211)+1)+1,999)
)))))</f>
        <v>CONTROLGOV_W127</v>
      </c>
      <c r="D211" s="6" t="s">
        <v>55</v>
      </c>
      <c r="E211" s="7" t="str">
        <f aca="false">IF(D211="PRE","N/A", 
IF(D211="SUP",I211, 
IF(D211="Single-choice",I211, 
IF(D211="Single-choice w/ correct",I211, 
IF(D211="Series", LEFT(I211, FIND("    ",I211)
))))))</f>
        <v>How much control do you think you have over the data the government collects about you?</v>
      </c>
      <c r="F211" s="8" t="str">
        <f aca="false">IF(D211="PRE",I211,
IF(D211="SUP",I211,
IF(D211="Single-choice","N/A",
IF(D211="Single-choice w/ correct","N/A",
IF(D211="Series", RIGHT(I211, LEN(I211) - FIND("    ",I211)-3
))))))</f>
        <v>N/A</v>
      </c>
      <c r="G211" s="6" t="s">
        <v>56</v>
      </c>
      <c r="H211" s="10" t="s">
        <v>228</v>
      </c>
      <c r="I211" s="9" t="s">
        <v>229</v>
      </c>
      <c r="J211" s="10" t="n">
        <v>2</v>
      </c>
      <c r="K211" s="10" t="s">
        <v>217</v>
      </c>
    </row>
    <row r="212" customFormat="false" ht="23.3" hidden="false" customHeight="false" outlineLevel="0" collapsed="false">
      <c r="A212" s="1" t="s">
        <v>13</v>
      </c>
      <c r="B212" s="1" t="s">
        <v>172</v>
      </c>
      <c r="C212" s="1" t="str">
        <f aca="false">IF(D212="PRE","N/A",
IF(D212="SUP","N/A",
IF(D212="Single-choice",H212,
IF(D212="Single-choice w/ correct",H212,
IF(D212="Series", LEFT(H212,FIND("_",H212)-1) &amp; "_" &amp; MID(H212,FIND("_",H212,FIND("_",H212)+1)+1,999)
)))))</f>
        <v>CONTROLGOV_W127</v>
      </c>
      <c r="D212" s="6" t="s">
        <v>55</v>
      </c>
      <c r="E212" s="7" t="str">
        <f aca="false">IF(D212="PRE","N/A", 
IF(D212="SUP",I212, 
IF(D212="Single-choice",I212, 
IF(D212="Single-choice w/ correct",I212, 
IF(D212="Series", LEFT(I212, FIND("    ",I212)
))))))</f>
        <v>How much control do you think you have over the data the government collects about you?</v>
      </c>
      <c r="F212" s="8" t="str">
        <f aca="false">IF(D212="PRE",I212,
IF(D212="SUP",I212,
IF(D212="Single-choice","N/A",
IF(D212="Single-choice w/ correct","N/A",
IF(D212="Series", RIGHT(I212, LEN(I212) - FIND("    ",I212)-3
))))))</f>
        <v>N/A</v>
      </c>
      <c r="G212" s="6" t="s">
        <v>56</v>
      </c>
      <c r="H212" s="10" t="s">
        <v>228</v>
      </c>
      <c r="I212" s="9" t="s">
        <v>229</v>
      </c>
      <c r="J212" s="10" t="n">
        <v>3</v>
      </c>
      <c r="K212" s="10" t="s">
        <v>218</v>
      </c>
    </row>
    <row r="213" customFormat="false" ht="23.3" hidden="false" customHeight="false" outlineLevel="0" collapsed="false">
      <c r="A213" s="1" t="s">
        <v>13</v>
      </c>
      <c r="B213" s="1" t="s">
        <v>172</v>
      </c>
      <c r="C213" s="1" t="str">
        <f aca="false">IF(D213="PRE","N/A",
IF(D213="SUP","N/A",
IF(D213="Single-choice",H213,
IF(D213="Single-choice w/ correct",H213,
IF(D213="Series", LEFT(H213,FIND("_",H213)-1) &amp; "_" &amp; MID(H213,FIND("_",H213,FIND("_",H213)+1)+1,999)
)))))</f>
        <v>CONTROLGOV_W127</v>
      </c>
      <c r="D213" s="6" t="s">
        <v>55</v>
      </c>
      <c r="E213" s="7" t="str">
        <f aca="false">IF(D213="PRE","N/A", 
IF(D213="SUP",I213, 
IF(D213="Single-choice",I213, 
IF(D213="Single-choice w/ correct",I213, 
IF(D213="Series", LEFT(I213, FIND("    ",I213)
))))))</f>
        <v>How much control do you think you have over the data the government collects about you?</v>
      </c>
      <c r="F213" s="8" t="str">
        <f aca="false">IF(D213="PRE",I213,
IF(D213="SUP",I213,
IF(D213="Single-choice","N/A",
IF(D213="Single-choice w/ correct","N/A",
IF(D213="Series", RIGHT(I213, LEN(I213) - FIND("    ",I213)-3
))))))</f>
        <v>N/A</v>
      </c>
      <c r="G213" s="6" t="s">
        <v>56</v>
      </c>
      <c r="H213" s="10" t="s">
        <v>228</v>
      </c>
      <c r="I213" s="9" t="s">
        <v>229</v>
      </c>
      <c r="J213" s="10" t="n">
        <v>4</v>
      </c>
      <c r="K213" s="10" t="s">
        <v>219</v>
      </c>
    </row>
    <row r="214" customFormat="false" ht="23.3" hidden="false" customHeight="false" outlineLevel="0" collapsed="false">
      <c r="A214" s="1" t="s">
        <v>13</v>
      </c>
      <c r="B214" s="1" t="s">
        <v>172</v>
      </c>
      <c r="C214" s="1" t="str">
        <f aca="false">IF(D214="PRE","N/A",
IF(D214="SUP","N/A",
IF(D214="Single-choice",H214,
IF(D214="Single-choice w/ correct",H214,
IF(D214="Series", LEFT(H214,FIND("_",H214)-1) &amp; "_" &amp; MID(H214,FIND("_",H214,FIND("_",H214)+1)+1,999)
)))))</f>
        <v>CONTROLGOV_W127</v>
      </c>
      <c r="D214" s="6" t="s">
        <v>55</v>
      </c>
      <c r="E214" s="7" t="str">
        <f aca="false">IF(D214="PRE","N/A", 
IF(D214="SUP",I214, 
IF(D214="Single-choice",I214, 
IF(D214="Single-choice w/ correct",I214, 
IF(D214="Series", LEFT(I214, FIND("    ",I214)
))))))</f>
        <v>How much control do you think you have over the data the government collects about you?</v>
      </c>
      <c r="F214" s="8" t="str">
        <f aca="false">IF(D214="PRE",I214,
IF(D214="SUP",I214,
IF(D214="Single-choice","N/A",
IF(D214="Single-choice w/ correct","N/A",
IF(D214="Series", RIGHT(I214, LEN(I214) - FIND("    ",I214)-3
))))))</f>
        <v>N/A</v>
      </c>
      <c r="G214" s="6" t="s">
        <v>56</v>
      </c>
      <c r="H214" s="10" t="s">
        <v>228</v>
      </c>
      <c r="I214" s="9" t="s">
        <v>229</v>
      </c>
      <c r="J214" s="10" t="n">
        <v>99</v>
      </c>
      <c r="K214" s="10" t="s">
        <v>64</v>
      </c>
    </row>
    <row r="215" customFormat="false" ht="15" hidden="false" customHeight="true" outlineLevel="0" collapsed="false">
      <c r="A215" s="1" t="s">
        <v>13</v>
      </c>
      <c r="B215" s="1" t="s">
        <v>172</v>
      </c>
      <c r="C215" s="1" t="str">
        <f aca="false">IF(D215="PRE","N/A",
IF(D215="SUP","N/A",
IF(D215="Single-choice",H215,
IF(D215="Single-choice w/ correct",H215,
IF(D215="Series", LEFT(H215,FIND("_",H215)-1) &amp; "_" &amp; MID(H215,FIND("_",H215,FIND("_",H215)+1)+1,999)
)))))</f>
        <v>UNDERSTANDGOV_W127</v>
      </c>
      <c r="D215" s="6" t="s">
        <v>55</v>
      </c>
      <c r="E215" s="7" t="str">
        <f aca="false">IF(D215="PRE","N/A", 
IF(D215="SUP",I215, 
IF(D215="Single-choice",I215, 
IF(D215="Single-choice w/ correct",I215, 
IF(D215="Series", LEFT(I215, FIND("    ",I215)
))))))</f>
        <v>How much do you feel you understand what the government is doing with the data it collects about you?</v>
      </c>
      <c r="F215" s="8" t="str">
        <f aca="false">IF(D215="PRE",I215,
IF(D215="SUP",I215,
IF(D215="Single-choice","N/A",
IF(D215="Single-choice w/ correct","N/A",
IF(D215="Series", RIGHT(I215, LEN(I215) - FIND("    ",I215)-3
))))))</f>
        <v>N/A</v>
      </c>
      <c r="G215" s="6" t="s">
        <v>56</v>
      </c>
      <c r="H215" s="6" t="s">
        <v>230</v>
      </c>
      <c r="I215" s="9" t="s">
        <v>231</v>
      </c>
      <c r="J215" s="6" t="n">
        <v>1</v>
      </c>
      <c r="K215" s="6" t="s">
        <v>222</v>
      </c>
    </row>
    <row r="216" customFormat="false" ht="23.3" hidden="false" customHeight="false" outlineLevel="0" collapsed="false">
      <c r="A216" s="1" t="s">
        <v>13</v>
      </c>
      <c r="B216" s="1" t="s">
        <v>172</v>
      </c>
      <c r="C216" s="1" t="str">
        <f aca="false">IF(D216="PRE","N/A",
IF(D216="SUP","N/A",
IF(D216="Single-choice",H216,
IF(D216="Single-choice w/ correct",H216,
IF(D216="Series", LEFT(H216,FIND("_",H216)-1) &amp; "_" &amp; MID(H216,FIND("_",H216,FIND("_",H216)+1)+1,999)
)))))</f>
        <v>UNDERSTANDGOV_W127</v>
      </c>
      <c r="D216" s="6" t="s">
        <v>55</v>
      </c>
      <c r="E216" s="7" t="str">
        <f aca="false">IF(D216="PRE","N/A", 
IF(D216="SUP",I216, 
IF(D216="Single-choice",I216, 
IF(D216="Single-choice w/ correct",I216, 
IF(D216="Series", LEFT(I216, FIND("    ",I216)
))))))</f>
        <v>How much do you feel you understand what the government is doing with the data it collects about you?</v>
      </c>
      <c r="F216" s="8" t="str">
        <f aca="false">IF(D216="PRE",I216,
IF(D216="SUP",I216,
IF(D216="Single-choice","N/A",
IF(D216="Single-choice w/ correct","N/A",
IF(D216="Series", RIGHT(I216, LEN(I216) - FIND("    ",I216)-3
))))))</f>
        <v>N/A</v>
      </c>
      <c r="G216" s="6" t="s">
        <v>56</v>
      </c>
      <c r="H216" s="10" t="s">
        <v>230</v>
      </c>
      <c r="I216" s="9" t="s">
        <v>231</v>
      </c>
      <c r="J216" s="10" t="n">
        <v>2</v>
      </c>
      <c r="K216" s="10" t="s">
        <v>223</v>
      </c>
    </row>
    <row r="217" customFormat="false" ht="23.3" hidden="false" customHeight="false" outlineLevel="0" collapsed="false">
      <c r="A217" s="1" t="s">
        <v>13</v>
      </c>
      <c r="B217" s="1" t="s">
        <v>172</v>
      </c>
      <c r="C217" s="1" t="str">
        <f aca="false">IF(D217="PRE","N/A",
IF(D217="SUP","N/A",
IF(D217="Single-choice",H217,
IF(D217="Single-choice w/ correct",H217,
IF(D217="Series", LEFT(H217,FIND("_",H217)-1) &amp; "_" &amp; MID(H217,FIND("_",H217,FIND("_",H217)+1)+1,999)
)))))</f>
        <v>UNDERSTANDGOV_W127</v>
      </c>
      <c r="D217" s="6" t="s">
        <v>55</v>
      </c>
      <c r="E217" s="7" t="str">
        <f aca="false">IF(D217="PRE","N/A", 
IF(D217="SUP",I217, 
IF(D217="Single-choice",I217, 
IF(D217="Single-choice w/ correct",I217, 
IF(D217="Series", LEFT(I217, FIND("    ",I217)
))))))</f>
        <v>How much do you feel you understand what the government is doing with the data it collects about you?</v>
      </c>
      <c r="F217" s="8" t="str">
        <f aca="false">IF(D217="PRE",I217,
IF(D217="SUP",I217,
IF(D217="Single-choice","N/A",
IF(D217="Single-choice w/ correct","N/A",
IF(D217="Series", RIGHT(I217, LEN(I217) - FIND("    ",I217)-3
))))))</f>
        <v>N/A</v>
      </c>
      <c r="G217" s="6" t="s">
        <v>56</v>
      </c>
      <c r="H217" s="10" t="s">
        <v>230</v>
      </c>
      <c r="I217" s="9" t="s">
        <v>231</v>
      </c>
      <c r="J217" s="10" t="n">
        <v>3</v>
      </c>
      <c r="K217" s="10" t="s">
        <v>224</v>
      </c>
    </row>
    <row r="218" customFormat="false" ht="23.3" hidden="false" customHeight="false" outlineLevel="0" collapsed="false">
      <c r="A218" s="1" t="s">
        <v>13</v>
      </c>
      <c r="B218" s="1" t="s">
        <v>172</v>
      </c>
      <c r="C218" s="1" t="str">
        <f aca="false">IF(D218="PRE","N/A",
IF(D218="SUP","N/A",
IF(D218="Single-choice",H218,
IF(D218="Single-choice w/ correct",H218,
IF(D218="Series", LEFT(H218,FIND("_",H218)-1) &amp; "_" &amp; MID(H218,FIND("_",H218,FIND("_",H218)+1)+1,999)
)))))</f>
        <v>UNDERSTANDGOV_W127</v>
      </c>
      <c r="D218" s="6" t="s">
        <v>55</v>
      </c>
      <c r="E218" s="7" t="str">
        <f aca="false">IF(D218="PRE","N/A", 
IF(D218="SUP",I218, 
IF(D218="Single-choice",I218, 
IF(D218="Single-choice w/ correct",I218, 
IF(D218="Series", LEFT(I218, FIND("    ",I218)
))))))</f>
        <v>How much do you feel you understand what the government is doing with the data it collects about you?</v>
      </c>
      <c r="F218" s="8" t="str">
        <f aca="false">IF(D218="PRE",I218,
IF(D218="SUP",I218,
IF(D218="Single-choice","N/A",
IF(D218="Single-choice w/ correct","N/A",
IF(D218="Series", RIGHT(I218, LEN(I218) - FIND("    ",I218)-3
))))))</f>
        <v>N/A</v>
      </c>
      <c r="G218" s="6" t="s">
        <v>56</v>
      </c>
      <c r="H218" s="10" t="s">
        <v>230</v>
      </c>
      <c r="I218" s="9" t="s">
        <v>231</v>
      </c>
      <c r="J218" s="10" t="n">
        <v>4</v>
      </c>
      <c r="K218" s="10" t="s">
        <v>225</v>
      </c>
    </row>
    <row r="219" customFormat="false" ht="23.3" hidden="false" customHeight="false" outlineLevel="0" collapsed="false">
      <c r="A219" s="1" t="s">
        <v>13</v>
      </c>
      <c r="B219" s="1" t="s">
        <v>172</v>
      </c>
      <c r="C219" s="1" t="str">
        <f aca="false">IF(D219="PRE","N/A",
IF(D219="SUP","N/A",
IF(D219="Single-choice",H219,
IF(D219="Single-choice w/ correct",H219,
IF(D219="Series", LEFT(H219,FIND("_",H219)-1) &amp; "_" &amp; MID(H219,FIND("_",H219,FIND("_",H219)+1)+1,999)
)))))</f>
        <v>UNDERSTANDGOV_W127</v>
      </c>
      <c r="D219" s="6" t="s">
        <v>55</v>
      </c>
      <c r="E219" s="7" t="str">
        <f aca="false">IF(D219="PRE","N/A", 
IF(D219="SUP",I219, 
IF(D219="Single-choice",I219, 
IF(D219="Single-choice w/ correct",I219, 
IF(D219="Series", LEFT(I219, FIND("    ",I219)
))))))</f>
        <v>How much do you feel you understand what the government is doing with the data it collects about you?</v>
      </c>
      <c r="F219" s="8" t="str">
        <f aca="false">IF(D219="PRE",I219,
IF(D219="SUP",I219,
IF(D219="Single-choice","N/A",
IF(D219="Single-choice w/ correct","N/A",
IF(D219="Series", RIGHT(I219, LEN(I219) - FIND("    ",I219)-3
))))))</f>
        <v>N/A</v>
      </c>
      <c r="G219" s="6" t="s">
        <v>56</v>
      </c>
      <c r="H219" s="10" t="s">
        <v>230</v>
      </c>
      <c r="I219" s="9" t="s">
        <v>231</v>
      </c>
      <c r="J219" s="10" t="n">
        <v>99</v>
      </c>
      <c r="K219" s="10" t="s">
        <v>64</v>
      </c>
    </row>
    <row r="220" customFormat="false" ht="15" hidden="false" customHeight="true" outlineLevel="0" collapsed="false">
      <c r="A220" s="1" t="s">
        <v>13</v>
      </c>
      <c r="B220" s="1" t="s">
        <v>172</v>
      </c>
      <c r="C220" s="1" t="str">
        <f aca="false">IF(D220="PRE","N/A",
IF(D220="SUP","N/A",
IF(D220="Single-choice",H220,
IF(D220="Single-choice w/ correct",H220,
IF(D220="Series", LEFT(H220,FIND("_",H220)-1) &amp; "_" &amp; MID(H220,FIND("_",H220,FIND("_",H220)+1)+1,999)
)))))</f>
        <v>AIPRIV1_W127</v>
      </c>
      <c r="D220" s="6" t="s">
        <v>78</v>
      </c>
      <c r="E220" s="7" t="str">
        <f aca="false">IF(D220="PRE","N/A", 
IF(D220="SUP",I220, 
IF(D220="Single-choice",I220, 
IF(D220="Single-choice w/ correct",I220, 
IF(D220="Series", LEFT(I220, FIND("    ",I220)
))))))</f>
        <v>How acceptable do you think each of the following uses of people’s information is? </v>
      </c>
      <c r="F220" s="8" t="str">
        <f aca="false">IF(D220="PRE",I220,
IF(D220="SUP",I220,
IF(D220="Single-choice","N/A",
IF(D220="Single-choice w/ correct","N/A",
IF(D220="Series", RIGHT(I220, LEN(I220) - FIND("    ",I220)-3
))))))</f>
        <v>A smart speaker analyzing people’s voices to learn to recognize who is speaking</v>
      </c>
      <c r="G220" s="6" t="s">
        <v>56</v>
      </c>
      <c r="H220" s="6" t="s">
        <v>232</v>
      </c>
      <c r="I220" s="9" t="s">
        <v>233</v>
      </c>
      <c r="J220" s="6" t="n">
        <v>1</v>
      </c>
      <c r="K220" s="6" t="s">
        <v>234</v>
      </c>
    </row>
    <row r="221" customFormat="false" ht="34.2" hidden="false" customHeight="false" outlineLevel="0" collapsed="false">
      <c r="A221" s="1" t="s">
        <v>13</v>
      </c>
      <c r="B221" s="1" t="s">
        <v>172</v>
      </c>
      <c r="C221" s="1" t="str">
        <f aca="false">IF(D221="PRE","N/A",
IF(D221="SUP","N/A",
IF(D221="Single-choice",H221,
IF(D221="Single-choice w/ correct",H221,
IF(D221="Series", LEFT(H221,FIND("_",H221)-1) &amp; "_" &amp; MID(H221,FIND("_",H221,FIND("_",H221)+1)+1,999)
)))))</f>
        <v>AIPRIV1_W127</v>
      </c>
      <c r="D221" s="6" t="s">
        <v>78</v>
      </c>
      <c r="E221" s="7" t="str">
        <f aca="false">IF(D221="PRE","N/A", 
IF(D221="SUP",I221, 
IF(D221="Single-choice",I221, 
IF(D221="Single-choice w/ correct",I221, 
IF(D221="Series", LEFT(I221, FIND("    ",I221)
))))))</f>
        <v>How acceptable do you think each of the following uses of people’s information is? </v>
      </c>
      <c r="F221" s="8" t="str">
        <f aca="false">IF(D221="PRE",I221,
IF(D221="SUP",I221,
IF(D221="Single-choice","N/A",
IF(D221="Single-choice w/ correct","N/A",
IF(D221="Series", RIGHT(I221, LEN(I221) - FIND("    ",I221)-3
))))))</f>
        <v>A smart speaker analyzing people’s voices to learn to recognize who is speaking</v>
      </c>
      <c r="G221" s="6" t="s">
        <v>56</v>
      </c>
      <c r="H221" s="10" t="s">
        <v>232</v>
      </c>
      <c r="I221" s="9" t="s">
        <v>233</v>
      </c>
      <c r="J221" s="10" t="n">
        <v>2</v>
      </c>
      <c r="K221" s="10" t="s">
        <v>235</v>
      </c>
    </row>
    <row r="222" customFormat="false" ht="34.2" hidden="false" customHeight="false" outlineLevel="0" collapsed="false">
      <c r="A222" s="1" t="s">
        <v>13</v>
      </c>
      <c r="B222" s="1" t="s">
        <v>172</v>
      </c>
      <c r="C222" s="1" t="str">
        <f aca="false">IF(D222="PRE","N/A",
IF(D222="SUP","N/A",
IF(D222="Single-choice",H222,
IF(D222="Single-choice w/ correct",H222,
IF(D222="Series", LEFT(H222,FIND("_",H222)-1) &amp; "_" &amp; MID(H222,FIND("_",H222,FIND("_",H222)+1)+1,999)
)))))</f>
        <v>AIPRIV1_W127</v>
      </c>
      <c r="D222" s="6" t="s">
        <v>78</v>
      </c>
      <c r="E222" s="7" t="str">
        <f aca="false">IF(D222="PRE","N/A", 
IF(D222="SUP",I222, 
IF(D222="Single-choice",I222, 
IF(D222="Single-choice w/ correct",I222, 
IF(D222="Series", LEFT(I222, FIND("    ",I222)
))))))</f>
        <v>How acceptable do you think each of the following uses of people’s information is? </v>
      </c>
      <c r="F222" s="8" t="str">
        <f aca="false">IF(D222="PRE",I222,
IF(D222="SUP",I222,
IF(D222="Single-choice","N/A",
IF(D222="Single-choice w/ correct","N/A",
IF(D222="Series", RIGHT(I222, LEN(I222) - FIND("    ",I222)-3
))))))</f>
        <v>A smart speaker analyzing people’s voices to learn to recognize who is speaking</v>
      </c>
      <c r="G222" s="6" t="s">
        <v>56</v>
      </c>
      <c r="H222" s="10" t="s">
        <v>232</v>
      </c>
      <c r="I222" s="9" t="s">
        <v>233</v>
      </c>
      <c r="J222" s="10" t="n">
        <v>3</v>
      </c>
      <c r="K222" s="10" t="s">
        <v>236</v>
      </c>
    </row>
    <row r="223" customFormat="false" ht="34.2" hidden="false" customHeight="false" outlineLevel="0" collapsed="false">
      <c r="A223" s="1" t="s">
        <v>13</v>
      </c>
      <c r="B223" s="1" t="s">
        <v>172</v>
      </c>
      <c r="C223" s="1" t="str">
        <f aca="false">IF(D223="PRE","N/A",
IF(D223="SUP","N/A",
IF(D223="Single-choice",H223,
IF(D223="Single-choice w/ correct",H223,
IF(D223="Series", LEFT(H223,FIND("_",H223)-1) &amp; "_" &amp; MID(H223,FIND("_",H223,FIND("_",H223)+1)+1,999)
)))))</f>
        <v>AIPRIV1_W127</v>
      </c>
      <c r="D223" s="6" t="s">
        <v>78</v>
      </c>
      <c r="E223" s="7" t="str">
        <f aca="false">IF(D223="PRE","N/A", 
IF(D223="SUP",I223, 
IF(D223="Single-choice",I223, 
IF(D223="Single-choice w/ correct",I223, 
IF(D223="Series", LEFT(I223, FIND("    ",I223)
))))))</f>
        <v>How acceptable do you think each of the following uses of people’s information is? </v>
      </c>
      <c r="F223" s="8" t="str">
        <f aca="false">IF(D223="PRE",I223,
IF(D223="SUP",I223,
IF(D223="Single-choice","N/A",
IF(D223="Single-choice w/ correct","N/A",
IF(D223="Series", RIGHT(I223, LEN(I223) - FIND("    ",I223)-3
))))))</f>
        <v>A smart speaker analyzing people’s voices to learn to recognize who is speaking</v>
      </c>
      <c r="G223" s="6" t="s">
        <v>56</v>
      </c>
      <c r="H223" s="10" t="s">
        <v>232</v>
      </c>
      <c r="I223" s="9" t="s">
        <v>233</v>
      </c>
      <c r="J223" s="10" t="n">
        <v>4</v>
      </c>
      <c r="K223" s="10" t="s">
        <v>237</v>
      </c>
    </row>
    <row r="224" customFormat="false" ht="34.2" hidden="false" customHeight="false" outlineLevel="0" collapsed="false">
      <c r="A224" s="1" t="s">
        <v>13</v>
      </c>
      <c r="B224" s="1" t="s">
        <v>172</v>
      </c>
      <c r="C224" s="1" t="str">
        <f aca="false">IF(D224="PRE","N/A",
IF(D224="SUP","N/A",
IF(D224="Single-choice",H224,
IF(D224="Single-choice w/ correct",H224,
IF(D224="Series", LEFT(H224,FIND("_",H224)-1) &amp; "_" &amp; MID(H224,FIND("_",H224,FIND("_",H224)+1)+1,999)
)))))</f>
        <v>AIPRIV1_W127</v>
      </c>
      <c r="D224" s="6" t="s">
        <v>78</v>
      </c>
      <c r="E224" s="7" t="str">
        <f aca="false">IF(D224="PRE","N/A", 
IF(D224="SUP",I224, 
IF(D224="Single-choice",I224, 
IF(D224="Single-choice w/ correct",I224, 
IF(D224="Series", LEFT(I224, FIND("    ",I224)
))))))</f>
        <v>How acceptable do you think each of the following uses of people’s information is? </v>
      </c>
      <c r="F224" s="8" t="str">
        <f aca="false">IF(D224="PRE",I224,
IF(D224="SUP",I224,
IF(D224="Single-choice","N/A",
IF(D224="Single-choice w/ correct","N/A",
IF(D224="Series", RIGHT(I224, LEN(I224) - FIND("    ",I224)-3
))))))</f>
        <v>A smart speaker analyzing people’s voices to learn to recognize who is speaking</v>
      </c>
      <c r="G224" s="6" t="s">
        <v>56</v>
      </c>
      <c r="H224" s="10" t="s">
        <v>232</v>
      </c>
      <c r="I224" s="9" t="s">
        <v>233</v>
      </c>
      <c r="J224" s="10" t="n">
        <v>5</v>
      </c>
      <c r="K224" s="10" t="s">
        <v>124</v>
      </c>
    </row>
    <row r="225" customFormat="false" ht="34.2" hidden="false" customHeight="false" outlineLevel="0" collapsed="false">
      <c r="A225" s="1" t="s">
        <v>13</v>
      </c>
      <c r="B225" s="1" t="s">
        <v>172</v>
      </c>
      <c r="C225" s="1" t="str">
        <f aca="false">IF(D225="PRE","N/A",
IF(D225="SUP","N/A",
IF(D225="Single-choice",H225,
IF(D225="Single-choice w/ correct",H225,
IF(D225="Series", LEFT(H225,FIND("_",H225)-1) &amp; "_" &amp; MID(H225,FIND("_",H225,FIND("_",H225)+1)+1,999)
)))))</f>
        <v>AIPRIV1_W127</v>
      </c>
      <c r="D225" s="6" t="s">
        <v>78</v>
      </c>
      <c r="E225" s="7" t="str">
        <f aca="false">IF(D225="PRE","N/A", 
IF(D225="SUP",I225, 
IF(D225="Single-choice",I225, 
IF(D225="Single-choice w/ correct",I225, 
IF(D225="Series", LEFT(I225, FIND("    ",I225)
))))))</f>
        <v>How acceptable do you think each of the following uses of people’s information is? </v>
      </c>
      <c r="F225" s="8" t="str">
        <f aca="false">IF(D225="PRE",I225,
IF(D225="SUP",I225,
IF(D225="Single-choice","N/A",
IF(D225="Single-choice w/ correct","N/A",
IF(D225="Series", RIGHT(I225, LEN(I225) - FIND("    ",I225)-3
))))))</f>
        <v>A smart speaker analyzing people’s voices to learn to recognize who is speaking</v>
      </c>
      <c r="G225" s="6" t="s">
        <v>56</v>
      </c>
      <c r="H225" s="10" t="s">
        <v>232</v>
      </c>
      <c r="I225" s="9" t="s">
        <v>233</v>
      </c>
      <c r="J225" s="10" t="n">
        <v>99</v>
      </c>
      <c r="K225" s="10" t="s">
        <v>64</v>
      </c>
    </row>
    <row r="226" customFormat="false" ht="15" hidden="false" customHeight="true" outlineLevel="0" collapsed="false">
      <c r="A226" s="1" t="s">
        <v>13</v>
      </c>
      <c r="B226" s="1" t="s">
        <v>172</v>
      </c>
      <c r="C226" s="1" t="str">
        <f aca="false">IF(D226="PRE","N/A",
IF(D226="SUP","N/A",
IF(D226="Single-choice",H226,
IF(D226="Single-choice w/ correct",H226,
IF(D226="Series", LEFT(H226,FIND("_",H226)-1) &amp; "_" &amp; MID(H226,FIND("_",H226,FIND("_",H226)+1)+1,999)
)))))</f>
        <v>AIPRIV1_W127</v>
      </c>
      <c r="D226" s="6" t="s">
        <v>78</v>
      </c>
      <c r="E226" s="7" t="str">
        <f aca="false">IF(D226="PRE","N/A", 
IF(D226="SUP",I226, 
IF(D226="Single-choice",I226, 
IF(D226="Single-choice w/ correct",I226, 
IF(D226="Series", LEFT(I226, FIND("    ",I226)
))))))</f>
        <v>How acceptable do you think each of the following uses of people’s information is? </v>
      </c>
      <c r="F226" s="8" t="str">
        <f aca="false">IF(D226="PRE",I226,
IF(D226="SUP",I226,
IF(D226="Single-choice","N/A",
IF(D226="Single-choice w/ correct","N/A",
IF(D226="Series", RIGHT(I226, LEN(I226) - FIND("    ",I226)-3
))))))</f>
        <v>Social media companies analyzing what people do on their sites to deliver personalized content</v>
      </c>
      <c r="G226" s="6" t="s">
        <v>56</v>
      </c>
      <c r="H226" s="6" t="s">
        <v>238</v>
      </c>
      <c r="I226" s="9" t="s">
        <v>239</v>
      </c>
      <c r="J226" s="6" t="n">
        <v>1</v>
      </c>
      <c r="K226" s="6" t="s">
        <v>234</v>
      </c>
    </row>
    <row r="227" customFormat="false" ht="34.2" hidden="false" customHeight="false" outlineLevel="0" collapsed="false">
      <c r="A227" s="1" t="s">
        <v>13</v>
      </c>
      <c r="B227" s="1" t="s">
        <v>172</v>
      </c>
      <c r="C227" s="1" t="str">
        <f aca="false">IF(D227="PRE","N/A",
IF(D227="SUP","N/A",
IF(D227="Single-choice",H227,
IF(D227="Single-choice w/ correct",H227,
IF(D227="Series", LEFT(H227,FIND("_",H227)-1) &amp; "_" &amp; MID(H227,FIND("_",H227,FIND("_",H227)+1)+1,999)
)))))</f>
        <v>AIPRIV1_W127</v>
      </c>
      <c r="D227" s="6" t="s">
        <v>78</v>
      </c>
      <c r="E227" s="7" t="str">
        <f aca="false">IF(D227="PRE","N/A", 
IF(D227="SUP",I227, 
IF(D227="Single-choice",I227, 
IF(D227="Single-choice w/ correct",I227, 
IF(D227="Series", LEFT(I227, FIND("    ",I227)
))))))</f>
        <v>How acceptable do you think each of the following uses of people’s information is? </v>
      </c>
      <c r="F227" s="8" t="str">
        <f aca="false">IF(D227="PRE",I227,
IF(D227="SUP",I227,
IF(D227="Single-choice","N/A",
IF(D227="Single-choice w/ correct","N/A",
IF(D227="Series", RIGHT(I227, LEN(I227) - FIND("    ",I227)-3
))))))</f>
        <v>Social media companies analyzing what people do on their sites to deliver personalized content</v>
      </c>
      <c r="G227" s="6" t="s">
        <v>56</v>
      </c>
      <c r="H227" s="10" t="s">
        <v>238</v>
      </c>
      <c r="I227" s="9" t="s">
        <v>239</v>
      </c>
      <c r="J227" s="10" t="n">
        <v>2</v>
      </c>
      <c r="K227" s="10" t="s">
        <v>235</v>
      </c>
    </row>
    <row r="228" customFormat="false" ht="34.2" hidden="false" customHeight="false" outlineLevel="0" collapsed="false">
      <c r="A228" s="1" t="s">
        <v>13</v>
      </c>
      <c r="B228" s="1" t="s">
        <v>172</v>
      </c>
      <c r="C228" s="1" t="str">
        <f aca="false">IF(D228="PRE","N/A",
IF(D228="SUP","N/A",
IF(D228="Single-choice",H228,
IF(D228="Single-choice w/ correct",H228,
IF(D228="Series", LEFT(H228,FIND("_",H228)-1) &amp; "_" &amp; MID(H228,FIND("_",H228,FIND("_",H228)+1)+1,999)
)))))</f>
        <v>AIPRIV1_W127</v>
      </c>
      <c r="D228" s="6" t="s">
        <v>78</v>
      </c>
      <c r="E228" s="7" t="str">
        <f aca="false">IF(D228="PRE","N/A", 
IF(D228="SUP",I228, 
IF(D228="Single-choice",I228, 
IF(D228="Single-choice w/ correct",I228, 
IF(D228="Series", LEFT(I228, FIND("    ",I228)
))))))</f>
        <v>How acceptable do you think each of the following uses of people’s information is? </v>
      </c>
      <c r="F228" s="8" t="str">
        <f aca="false">IF(D228="PRE",I228,
IF(D228="SUP",I228,
IF(D228="Single-choice","N/A",
IF(D228="Single-choice w/ correct","N/A",
IF(D228="Series", RIGHT(I228, LEN(I228) - FIND("    ",I228)-3
))))))</f>
        <v>Social media companies analyzing what people do on their sites to deliver personalized content</v>
      </c>
      <c r="G228" s="6" t="s">
        <v>56</v>
      </c>
      <c r="H228" s="10" t="s">
        <v>238</v>
      </c>
      <c r="I228" s="9" t="s">
        <v>239</v>
      </c>
      <c r="J228" s="10" t="n">
        <v>3</v>
      </c>
      <c r="K228" s="10" t="s">
        <v>236</v>
      </c>
    </row>
    <row r="229" customFormat="false" ht="34.2" hidden="false" customHeight="false" outlineLevel="0" collapsed="false">
      <c r="A229" s="1" t="s">
        <v>13</v>
      </c>
      <c r="B229" s="1" t="s">
        <v>172</v>
      </c>
      <c r="C229" s="1" t="str">
        <f aca="false">IF(D229="PRE","N/A",
IF(D229="SUP","N/A",
IF(D229="Single-choice",H229,
IF(D229="Single-choice w/ correct",H229,
IF(D229="Series", LEFT(H229,FIND("_",H229)-1) &amp; "_" &amp; MID(H229,FIND("_",H229,FIND("_",H229)+1)+1,999)
)))))</f>
        <v>AIPRIV1_W127</v>
      </c>
      <c r="D229" s="6" t="s">
        <v>78</v>
      </c>
      <c r="E229" s="7" t="str">
        <f aca="false">IF(D229="PRE","N/A", 
IF(D229="SUP",I229, 
IF(D229="Single-choice",I229, 
IF(D229="Single-choice w/ correct",I229, 
IF(D229="Series", LEFT(I229, FIND("    ",I229)
))))))</f>
        <v>How acceptable do you think each of the following uses of people’s information is? </v>
      </c>
      <c r="F229" s="8" t="str">
        <f aca="false">IF(D229="PRE",I229,
IF(D229="SUP",I229,
IF(D229="Single-choice","N/A",
IF(D229="Single-choice w/ correct","N/A",
IF(D229="Series", RIGHT(I229, LEN(I229) - FIND("    ",I229)-3
))))))</f>
        <v>Social media companies analyzing what people do on their sites to deliver personalized content</v>
      </c>
      <c r="G229" s="6" t="s">
        <v>56</v>
      </c>
      <c r="H229" s="10" t="s">
        <v>238</v>
      </c>
      <c r="I229" s="9" t="s">
        <v>239</v>
      </c>
      <c r="J229" s="10" t="n">
        <v>4</v>
      </c>
      <c r="K229" s="10" t="s">
        <v>237</v>
      </c>
    </row>
    <row r="230" customFormat="false" ht="34.2" hidden="false" customHeight="false" outlineLevel="0" collapsed="false">
      <c r="A230" s="1" t="s">
        <v>13</v>
      </c>
      <c r="B230" s="1" t="s">
        <v>172</v>
      </c>
      <c r="C230" s="1" t="str">
        <f aca="false">IF(D230="PRE","N/A",
IF(D230="SUP","N/A",
IF(D230="Single-choice",H230,
IF(D230="Single-choice w/ correct",H230,
IF(D230="Series", LEFT(H230,FIND("_",H230)-1) &amp; "_" &amp; MID(H230,FIND("_",H230,FIND("_",H230)+1)+1,999)
)))))</f>
        <v>AIPRIV1_W127</v>
      </c>
      <c r="D230" s="6" t="s">
        <v>78</v>
      </c>
      <c r="E230" s="7" t="str">
        <f aca="false">IF(D230="PRE","N/A", 
IF(D230="SUP",I230, 
IF(D230="Single-choice",I230, 
IF(D230="Single-choice w/ correct",I230, 
IF(D230="Series", LEFT(I230, FIND("    ",I230)
))))))</f>
        <v>How acceptable do you think each of the following uses of people’s information is? </v>
      </c>
      <c r="F230" s="8" t="str">
        <f aca="false">IF(D230="PRE",I230,
IF(D230="SUP",I230,
IF(D230="Single-choice","N/A",
IF(D230="Single-choice w/ correct","N/A",
IF(D230="Series", RIGHT(I230, LEN(I230) - FIND("    ",I230)-3
))))))</f>
        <v>Social media companies analyzing what people do on their sites to deliver personalized content</v>
      </c>
      <c r="G230" s="6" t="s">
        <v>56</v>
      </c>
      <c r="H230" s="10" t="s">
        <v>238</v>
      </c>
      <c r="I230" s="9" t="s">
        <v>239</v>
      </c>
      <c r="J230" s="10" t="n">
        <v>5</v>
      </c>
      <c r="K230" s="10" t="s">
        <v>124</v>
      </c>
    </row>
    <row r="231" customFormat="false" ht="34.2" hidden="false" customHeight="false" outlineLevel="0" collapsed="false">
      <c r="A231" s="1" t="s">
        <v>13</v>
      </c>
      <c r="B231" s="1" t="s">
        <v>172</v>
      </c>
      <c r="C231" s="1" t="str">
        <f aca="false">IF(D231="PRE","N/A",
IF(D231="SUP","N/A",
IF(D231="Single-choice",H231,
IF(D231="Single-choice w/ correct",H231,
IF(D231="Series", LEFT(H231,FIND("_",H231)-1) &amp; "_" &amp; MID(H231,FIND("_",H231,FIND("_",H231)+1)+1,999)
)))))</f>
        <v>AIPRIV1_W127</v>
      </c>
      <c r="D231" s="6" t="s">
        <v>78</v>
      </c>
      <c r="E231" s="7" t="str">
        <f aca="false">IF(D231="PRE","N/A", 
IF(D231="SUP",I231, 
IF(D231="Single-choice",I231, 
IF(D231="Single-choice w/ correct",I231, 
IF(D231="Series", LEFT(I231, FIND("    ",I231)
))))))</f>
        <v>How acceptable do you think each of the following uses of people’s information is? </v>
      </c>
      <c r="F231" s="8" t="str">
        <f aca="false">IF(D231="PRE",I231,
IF(D231="SUP",I231,
IF(D231="Single-choice","N/A",
IF(D231="Single-choice w/ correct","N/A",
IF(D231="Series", RIGHT(I231, LEN(I231) - FIND("    ",I231)-3
))))))</f>
        <v>Social media companies analyzing what people do on their sites to deliver personalized content</v>
      </c>
      <c r="G231" s="6" t="s">
        <v>56</v>
      </c>
      <c r="H231" s="10" t="s">
        <v>238</v>
      </c>
      <c r="I231" s="9" t="s">
        <v>239</v>
      </c>
      <c r="J231" s="10" t="n">
        <v>99</v>
      </c>
      <c r="K231" s="10" t="s">
        <v>64</v>
      </c>
    </row>
    <row r="232" customFormat="false" ht="15" hidden="false" customHeight="true" outlineLevel="0" collapsed="false">
      <c r="A232" s="1" t="s">
        <v>13</v>
      </c>
      <c r="B232" s="1" t="s">
        <v>172</v>
      </c>
      <c r="C232" s="1" t="str">
        <f aca="false">IF(D232="PRE","N/A",
IF(D232="SUP","N/A",
IF(D232="Single-choice",H232,
IF(D232="Single-choice w/ correct",H232,
IF(D232="Series", LEFT(H232,FIND("_",H232)-1) &amp; "_" &amp; MID(H232,FIND("_",H232,FIND("_",H232)+1)+1,999)
)))))</f>
        <v>AIPRIV1_W127</v>
      </c>
      <c r="D232" s="6" t="s">
        <v>78</v>
      </c>
      <c r="E232" s="7" t="str">
        <f aca="false">IF(D232="PRE","N/A", 
IF(D232="SUP",I232, 
IF(D232="Single-choice",I232, 
IF(D232="Single-choice w/ correct",I232, 
IF(D232="Series", LEFT(I232, FIND("    ",I232)
))))))</f>
        <v>How acceptable do you think each of the following uses of people’s information is? </v>
      </c>
      <c r="F232" s="8" t="str">
        <f aca="false">IF(D232="PRE",I232,
IF(D232="SUP",I232,
IF(D232="Single-choice","N/A",
IF(D232="Single-choice w/ correct","N/A",
IF(D232="Series", RIGHT(I232, LEN(I232) - FIND("    ",I232)-3
))))))</f>
        <v>Using computer programs, or algorithms, to determine who should be eligible for public assistance</v>
      </c>
      <c r="G232" s="6" t="s">
        <v>56</v>
      </c>
      <c r="H232" s="6" t="s">
        <v>240</v>
      </c>
      <c r="I232" s="9" t="s">
        <v>241</v>
      </c>
      <c r="J232" s="6" t="n">
        <v>1</v>
      </c>
      <c r="K232" s="6" t="s">
        <v>234</v>
      </c>
    </row>
    <row r="233" customFormat="false" ht="34.2" hidden="false" customHeight="false" outlineLevel="0" collapsed="false">
      <c r="A233" s="1" t="s">
        <v>13</v>
      </c>
      <c r="B233" s="1" t="s">
        <v>172</v>
      </c>
      <c r="C233" s="1" t="str">
        <f aca="false">IF(D233="PRE","N/A",
IF(D233="SUP","N/A",
IF(D233="Single-choice",H233,
IF(D233="Single-choice w/ correct",H233,
IF(D233="Series", LEFT(H233,FIND("_",H233)-1) &amp; "_" &amp; MID(H233,FIND("_",H233,FIND("_",H233)+1)+1,999)
)))))</f>
        <v>AIPRIV1_W127</v>
      </c>
      <c r="D233" s="6" t="s">
        <v>78</v>
      </c>
      <c r="E233" s="7" t="str">
        <f aca="false">IF(D233="PRE","N/A", 
IF(D233="SUP",I233, 
IF(D233="Single-choice",I233, 
IF(D233="Single-choice w/ correct",I233, 
IF(D233="Series", LEFT(I233, FIND("    ",I233)
))))))</f>
        <v>How acceptable do you think each of the following uses of people’s information is? </v>
      </c>
      <c r="F233" s="8" t="str">
        <f aca="false">IF(D233="PRE",I233,
IF(D233="SUP",I233,
IF(D233="Single-choice","N/A",
IF(D233="Single-choice w/ correct","N/A",
IF(D233="Series", RIGHT(I233, LEN(I233) - FIND("    ",I233)-3
))))))</f>
        <v>Using computer programs, or algorithms, to determine who should be eligible for public assistance</v>
      </c>
      <c r="G233" s="6" t="s">
        <v>56</v>
      </c>
      <c r="H233" s="10" t="s">
        <v>240</v>
      </c>
      <c r="I233" s="9" t="s">
        <v>241</v>
      </c>
      <c r="J233" s="10" t="n">
        <v>2</v>
      </c>
      <c r="K233" s="10" t="s">
        <v>235</v>
      </c>
    </row>
    <row r="234" customFormat="false" ht="34.2" hidden="false" customHeight="false" outlineLevel="0" collapsed="false">
      <c r="A234" s="1" t="s">
        <v>13</v>
      </c>
      <c r="B234" s="1" t="s">
        <v>172</v>
      </c>
      <c r="C234" s="1" t="str">
        <f aca="false">IF(D234="PRE","N/A",
IF(D234="SUP","N/A",
IF(D234="Single-choice",H234,
IF(D234="Single-choice w/ correct",H234,
IF(D234="Series", LEFT(H234,FIND("_",H234)-1) &amp; "_" &amp; MID(H234,FIND("_",H234,FIND("_",H234)+1)+1,999)
)))))</f>
        <v>AIPRIV1_W127</v>
      </c>
      <c r="D234" s="6" t="s">
        <v>78</v>
      </c>
      <c r="E234" s="7" t="str">
        <f aca="false">IF(D234="PRE","N/A", 
IF(D234="SUP",I234, 
IF(D234="Single-choice",I234, 
IF(D234="Single-choice w/ correct",I234, 
IF(D234="Series", LEFT(I234, FIND("    ",I234)
))))))</f>
        <v>How acceptable do you think each of the following uses of people’s information is? </v>
      </c>
      <c r="F234" s="8" t="str">
        <f aca="false">IF(D234="PRE",I234,
IF(D234="SUP",I234,
IF(D234="Single-choice","N/A",
IF(D234="Single-choice w/ correct","N/A",
IF(D234="Series", RIGHT(I234, LEN(I234) - FIND("    ",I234)-3
))))))</f>
        <v>Using computer programs, or algorithms, to determine who should be eligible for public assistance</v>
      </c>
      <c r="G234" s="6" t="s">
        <v>56</v>
      </c>
      <c r="H234" s="10" t="s">
        <v>240</v>
      </c>
      <c r="I234" s="9" t="s">
        <v>241</v>
      </c>
      <c r="J234" s="10" t="n">
        <v>3</v>
      </c>
      <c r="K234" s="10" t="s">
        <v>236</v>
      </c>
    </row>
    <row r="235" customFormat="false" ht="34.2" hidden="false" customHeight="false" outlineLevel="0" collapsed="false">
      <c r="A235" s="1" t="s">
        <v>13</v>
      </c>
      <c r="B235" s="1" t="s">
        <v>172</v>
      </c>
      <c r="C235" s="1" t="str">
        <f aca="false">IF(D235="PRE","N/A",
IF(D235="SUP","N/A",
IF(D235="Single-choice",H235,
IF(D235="Single-choice w/ correct",H235,
IF(D235="Series", LEFT(H235,FIND("_",H235)-1) &amp; "_" &amp; MID(H235,FIND("_",H235,FIND("_",H235)+1)+1,999)
)))))</f>
        <v>AIPRIV1_W127</v>
      </c>
      <c r="D235" s="6" t="s">
        <v>78</v>
      </c>
      <c r="E235" s="7" t="str">
        <f aca="false">IF(D235="PRE","N/A", 
IF(D235="SUP",I235, 
IF(D235="Single-choice",I235, 
IF(D235="Single-choice w/ correct",I235, 
IF(D235="Series", LEFT(I235, FIND("    ",I235)
))))))</f>
        <v>How acceptable do you think each of the following uses of people’s information is? </v>
      </c>
      <c r="F235" s="8" t="str">
        <f aca="false">IF(D235="PRE",I235,
IF(D235="SUP",I235,
IF(D235="Single-choice","N/A",
IF(D235="Single-choice w/ correct","N/A",
IF(D235="Series", RIGHT(I235, LEN(I235) - FIND("    ",I235)-3
))))))</f>
        <v>Using computer programs, or algorithms, to determine who should be eligible for public assistance</v>
      </c>
      <c r="G235" s="6" t="s">
        <v>56</v>
      </c>
      <c r="H235" s="10" t="s">
        <v>240</v>
      </c>
      <c r="I235" s="9" t="s">
        <v>241</v>
      </c>
      <c r="J235" s="10" t="n">
        <v>4</v>
      </c>
      <c r="K235" s="10" t="s">
        <v>237</v>
      </c>
    </row>
    <row r="236" customFormat="false" ht="34.2" hidden="false" customHeight="false" outlineLevel="0" collapsed="false">
      <c r="A236" s="1" t="s">
        <v>13</v>
      </c>
      <c r="B236" s="1" t="s">
        <v>172</v>
      </c>
      <c r="C236" s="1" t="str">
        <f aca="false">IF(D236="PRE","N/A",
IF(D236="SUP","N/A",
IF(D236="Single-choice",H236,
IF(D236="Single-choice w/ correct",H236,
IF(D236="Series", LEFT(H236,FIND("_",H236)-1) &amp; "_" &amp; MID(H236,FIND("_",H236,FIND("_",H236)+1)+1,999)
)))))</f>
        <v>AIPRIV1_W127</v>
      </c>
      <c r="D236" s="6" t="s">
        <v>78</v>
      </c>
      <c r="E236" s="7" t="str">
        <f aca="false">IF(D236="PRE","N/A", 
IF(D236="SUP",I236, 
IF(D236="Single-choice",I236, 
IF(D236="Single-choice w/ correct",I236, 
IF(D236="Series", LEFT(I236, FIND("    ",I236)
))))))</f>
        <v>How acceptable do you think each of the following uses of people’s information is? </v>
      </c>
      <c r="F236" s="8" t="str">
        <f aca="false">IF(D236="PRE",I236,
IF(D236="SUP",I236,
IF(D236="Single-choice","N/A",
IF(D236="Single-choice w/ correct","N/A",
IF(D236="Series", RIGHT(I236, LEN(I236) - FIND("    ",I236)-3
))))))</f>
        <v>Using computer programs, or algorithms, to determine who should be eligible for public assistance</v>
      </c>
      <c r="G236" s="6" t="s">
        <v>56</v>
      </c>
      <c r="H236" s="10" t="s">
        <v>240</v>
      </c>
      <c r="I236" s="9" t="s">
        <v>241</v>
      </c>
      <c r="J236" s="10" t="n">
        <v>5</v>
      </c>
      <c r="K236" s="10" t="s">
        <v>124</v>
      </c>
    </row>
    <row r="237" customFormat="false" ht="34.2" hidden="false" customHeight="false" outlineLevel="0" collapsed="false">
      <c r="A237" s="1" t="s">
        <v>13</v>
      </c>
      <c r="B237" s="1" t="s">
        <v>172</v>
      </c>
      <c r="C237" s="1" t="str">
        <f aca="false">IF(D237="PRE","N/A",
IF(D237="SUP","N/A",
IF(D237="Single-choice",H237,
IF(D237="Single-choice w/ correct",H237,
IF(D237="Series", LEFT(H237,FIND("_",H237)-1) &amp; "_" &amp; MID(H237,FIND("_",H237,FIND("_",H237)+1)+1,999)
)))))</f>
        <v>AIPRIV1_W127</v>
      </c>
      <c r="D237" s="6" t="s">
        <v>78</v>
      </c>
      <c r="E237" s="7" t="str">
        <f aca="false">IF(D237="PRE","N/A", 
IF(D237="SUP",I237, 
IF(D237="Single-choice",I237, 
IF(D237="Single-choice w/ correct",I237, 
IF(D237="Series", LEFT(I237, FIND("    ",I237)
))))))</f>
        <v>How acceptable do you think each of the following uses of people’s information is? </v>
      </c>
      <c r="F237" s="8" t="str">
        <f aca="false">IF(D237="PRE",I237,
IF(D237="SUP",I237,
IF(D237="Single-choice","N/A",
IF(D237="Single-choice w/ correct","N/A",
IF(D237="Series", RIGHT(I237, LEN(I237) - FIND("    ",I237)-3
))))))</f>
        <v>Using computer programs, or algorithms, to determine who should be eligible for public assistance</v>
      </c>
      <c r="G237" s="6" t="s">
        <v>56</v>
      </c>
      <c r="H237" s="10" t="s">
        <v>240</v>
      </c>
      <c r="I237" s="9" t="s">
        <v>241</v>
      </c>
      <c r="J237" s="10" t="n">
        <v>99</v>
      </c>
      <c r="K237" s="10" t="s">
        <v>64</v>
      </c>
    </row>
    <row r="238" customFormat="false" ht="15" hidden="false" customHeight="true" outlineLevel="0" collapsed="false">
      <c r="A238" s="1" t="s">
        <v>13</v>
      </c>
      <c r="B238" s="1" t="s">
        <v>172</v>
      </c>
      <c r="C238" s="1" t="str">
        <f aca="false">IF(D238="PRE","N/A",
IF(D238="SUP","N/A",
IF(D238="Single-choice",H238,
IF(D238="Single-choice w/ correct",H238,
IF(D238="Series", LEFT(H238,FIND("_",H238)-1) &amp; "_" &amp; MID(H238,FIND("_",H238,FIND("_",H238)+1)+1,999)
)))))</f>
        <v>PPREAD_W127</v>
      </c>
      <c r="D238" s="6" t="s">
        <v>55</v>
      </c>
      <c r="E238" s="7" t="str">
        <f aca="false">IF(D238="PRE","N/A", 
IF(D238="SUP",I238, 
IF(D238="Single-choice",I238, 
IF(D238="Single-choice w/ correct",I238, 
IF(D238="Series", LEFT(I238, FIND("    ",I238)
))))))</f>
        <v>How often do you click “agree” right away, without reading what these policies say?</v>
      </c>
      <c r="F238" s="8" t="str">
        <f aca="false">IF(D238="PRE",I238,
IF(D238="SUP",I238,
IF(D238="Single-choice","N/A",
IF(D238="Single-choice w/ correct","N/A",
IF(D238="Series", RIGHT(I238, LEN(I238) - FIND("    ",I238)-3
))))))</f>
        <v>N/A</v>
      </c>
      <c r="G238" s="6" t="s">
        <v>73</v>
      </c>
      <c r="H238" s="6" t="s">
        <v>242</v>
      </c>
      <c r="I238" s="9" t="s">
        <v>243</v>
      </c>
      <c r="J238" s="6" t="n">
        <v>1</v>
      </c>
      <c r="K238" s="6" t="s">
        <v>244</v>
      </c>
    </row>
    <row r="239" customFormat="false" ht="23.3" hidden="false" customHeight="false" outlineLevel="0" collapsed="false">
      <c r="A239" s="1" t="s">
        <v>13</v>
      </c>
      <c r="B239" s="1" t="s">
        <v>172</v>
      </c>
      <c r="C239" s="1" t="str">
        <f aca="false">IF(D239="PRE","N/A",
IF(D239="SUP","N/A",
IF(D239="Single-choice",H239,
IF(D239="Single-choice w/ correct",H239,
IF(D239="Series", LEFT(H239,FIND("_",H239)-1) &amp; "_" &amp; MID(H239,FIND("_",H239,FIND("_",H239)+1)+1,999)
)))))</f>
        <v>PPREAD_W127</v>
      </c>
      <c r="D239" s="6" t="s">
        <v>55</v>
      </c>
      <c r="E239" s="7" t="str">
        <f aca="false">IF(D239="PRE","N/A", 
IF(D239="SUP",I239, 
IF(D239="Single-choice",I239, 
IF(D239="Single-choice w/ correct",I239, 
IF(D239="Series", LEFT(I239, FIND("    ",I239)
))))))</f>
        <v>How often do you click “agree” right away, without reading what these policies say?</v>
      </c>
      <c r="F239" s="8" t="str">
        <f aca="false">IF(D239="PRE",I239,
IF(D239="SUP",I239,
IF(D239="Single-choice","N/A",
IF(D239="Single-choice w/ correct","N/A",
IF(D239="Series", RIGHT(I239, LEN(I239) - FIND("    ",I239)-3
))))))</f>
        <v>N/A</v>
      </c>
      <c r="G239" s="6" t="s">
        <v>73</v>
      </c>
      <c r="H239" s="10" t="s">
        <v>242</v>
      </c>
      <c r="I239" s="9" t="s">
        <v>243</v>
      </c>
      <c r="J239" s="10" t="n">
        <v>2</v>
      </c>
      <c r="K239" s="10" t="s">
        <v>245</v>
      </c>
    </row>
    <row r="240" customFormat="false" ht="23.3" hidden="false" customHeight="false" outlineLevel="0" collapsed="false">
      <c r="A240" s="1" t="s">
        <v>13</v>
      </c>
      <c r="B240" s="1" t="s">
        <v>172</v>
      </c>
      <c r="C240" s="1" t="str">
        <f aca="false">IF(D240="PRE","N/A",
IF(D240="SUP","N/A",
IF(D240="Single-choice",H240,
IF(D240="Single-choice w/ correct",H240,
IF(D240="Series", LEFT(H240,FIND("_",H240)-1) &amp; "_" &amp; MID(H240,FIND("_",H240,FIND("_",H240)+1)+1,999)
)))))</f>
        <v>PPREAD_W127</v>
      </c>
      <c r="D240" s="6" t="s">
        <v>55</v>
      </c>
      <c r="E240" s="7" t="str">
        <f aca="false">IF(D240="PRE","N/A", 
IF(D240="SUP",I240, 
IF(D240="Single-choice",I240, 
IF(D240="Single-choice w/ correct",I240, 
IF(D240="Series", LEFT(I240, FIND("    ",I240)
))))))</f>
        <v>How often do you click “agree” right away, without reading what these policies say?</v>
      </c>
      <c r="F240" s="8" t="str">
        <f aca="false">IF(D240="PRE",I240,
IF(D240="SUP",I240,
IF(D240="Single-choice","N/A",
IF(D240="Single-choice w/ correct","N/A",
IF(D240="Series", RIGHT(I240, LEN(I240) - FIND("    ",I240)-3
))))))</f>
        <v>N/A</v>
      </c>
      <c r="G240" s="6" t="s">
        <v>73</v>
      </c>
      <c r="H240" s="10" t="s">
        <v>242</v>
      </c>
      <c r="I240" s="9" t="s">
        <v>243</v>
      </c>
      <c r="J240" s="10" t="n">
        <v>3</v>
      </c>
      <c r="K240" s="10" t="s">
        <v>246</v>
      </c>
    </row>
    <row r="241" customFormat="false" ht="23.3" hidden="false" customHeight="false" outlineLevel="0" collapsed="false">
      <c r="A241" s="1" t="s">
        <v>13</v>
      </c>
      <c r="B241" s="1" t="s">
        <v>172</v>
      </c>
      <c r="C241" s="1" t="str">
        <f aca="false">IF(D241="PRE","N/A",
IF(D241="SUP","N/A",
IF(D241="Single-choice",H241,
IF(D241="Single-choice w/ correct",H241,
IF(D241="Series", LEFT(H241,FIND("_",H241)-1) &amp; "_" &amp; MID(H241,FIND("_",H241,FIND("_",H241)+1)+1,999)
)))))</f>
        <v>PPREAD_W127</v>
      </c>
      <c r="D241" s="6" t="s">
        <v>55</v>
      </c>
      <c r="E241" s="7" t="str">
        <f aca="false">IF(D241="PRE","N/A", 
IF(D241="SUP",I241, 
IF(D241="Single-choice",I241, 
IF(D241="Single-choice w/ correct",I241, 
IF(D241="Series", LEFT(I241, FIND("    ",I241)
))))))</f>
        <v>How often do you click “agree” right away, without reading what these policies say?</v>
      </c>
      <c r="F241" s="8" t="str">
        <f aca="false">IF(D241="PRE",I241,
IF(D241="SUP",I241,
IF(D241="Single-choice","N/A",
IF(D241="Single-choice w/ correct","N/A",
IF(D241="Series", RIGHT(I241, LEN(I241) - FIND("    ",I241)-3
))))))</f>
        <v>N/A</v>
      </c>
      <c r="G241" s="6" t="s">
        <v>73</v>
      </c>
      <c r="H241" s="10" t="s">
        <v>242</v>
      </c>
      <c r="I241" s="9" t="s">
        <v>243</v>
      </c>
      <c r="J241" s="10" t="n">
        <v>4</v>
      </c>
      <c r="K241" s="10" t="s">
        <v>247</v>
      </c>
    </row>
    <row r="242" customFormat="false" ht="23.3" hidden="false" customHeight="false" outlineLevel="0" collapsed="false">
      <c r="A242" s="1" t="s">
        <v>13</v>
      </c>
      <c r="B242" s="1" t="s">
        <v>172</v>
      </c>
      <c r="C242" s="1" t="str">
        <f aca="false">IF(D242="PRE","N/A",
IF(D242="SUP","N/A",
IF(D242="Single-choice",H242,
IF(D242="Single-choice w/ correct",H242,
IF(D242="Series", LEFT(H242,FIND("_",H242)-1) &amp; "_" &amp; MID(H242,FIND("_",H242,FIND("_",H242)+1)+1,999)
)))))</f>
        <v>PPREAD_W127</v>
      </c>
      <c r="D242" s="6" t="s">
        <v>55</v>
      </c>
      <c r="E242" s="7" t="str">
        <f aca="false">IF(D242="PRE","N/A", 
IF(D242="SUP",I242, 
IF(D242="Single-choice",I242, 
IF(D242="Single-choice w/ correct",I242, 
IF(D242="Series", LEFT(I242, FIND("    ",I242)
))))))</f>
        <v>How often do you click “agree” right away, without reading what these policies say?</v>
      </c>
      <c r="F242" s="8" t="str">
        <f aca="false">IF(D242="PRE",I242,
IF(D242="SUP",I242,
IF(D242="Single-choice","N/A",
IF(D242="Single-choice w/ correct","N/A",
IF(D242="Series", RIGHT(I242, LEN(I242) - FIND("    ",I242)-3
))))))</f>
        <v>N/A</v>
      </c>
      <c r="G242" s="6" t="s">
        <v>73</v>
      </c>
      <c r="H242" s="10" t="s">
        <v>242</v>
      </c>
      <c r="I242" s="9" t="s">
        <v>243</v>
      </c>
      <c r="J242" s="10" t="n">
        <v>5</v>
      </c>
      <c r="K242" s="10" t="s">
        <v>248</v>
      </c>
    </row>
    <row r="243" customFormat="false" ht="23.3" hidden="false" customHeight="false" outlineLevel="0" collapsed="false">
      <c r="A243" s="1" t="s">
        <v>13</v>
      </c>
      <c r="B243" s="1" t="s">
        <v>172</v>
      </c>
      <c r="C243" s="1" t="str">
        <f aca="false">IF(D243="PRE","N/A",
IF(D243="SUP","N/A",
IF(D243="Single-choice",H243,
IF(D243="Single-choice w/ correct",H243,
IF(D243="Series", LEFT(H243,FIND("_",H243)-1) &amp; "_" &amp; MID(H243,FIND("_",H243,FIND("_",H243)+1)+1,999)
)))))</f>
        <v>PPREAD_W127</v>
      </c>
      <c r="D243" s="6" t="s">
        <v>55</v>
      </c>
      <c r="E243" s="7" t="str">
        <f aca="false">IF(D243="PRE","N/A", 
IF(D243="SUP",I243, 
IF(D243="Single-choice",I243, 
IF(D243="Single-choice w/ correct",I243, 
IF(D243="Series", LEFT(I243, FIND("    ",I243)
))))))</f>
        <v>How often do you click “agree” right away, without reading what these policies say?</v>
      </c>
      <c r="F243" s="8" t="str">
        <f aca="false">IF(D243="PRE",I243,
IF(D243="SUP",I243,
IF(D243="Single-choice","N/A",
IF(D243="Single-choice w/ correct","N/A",
IF(D243="Series", RIGHT(I243, LEN(I243) - FIND("    ",I243)-3
))))))</f>
        <v>N/A</v>
      </c>
      <c r="G243" s="6" t="s">
        <v>73</v>
      </c>
      <c r="H243" s="10" t="s">
        <v>242</v>
      </c>
      <c r="I243" s="9" t="s">
        <v>243</v>
      </c>
      <c r="J243" s="10" t="n">
        <v>99</v>
      </c>
      <c r="K243" s="10" t="s">
        <v>64</v>
      </c>
    </row>
    <row r="244" customFormat="false" ht="15" hidden="false" customHeight="true" outlineLevel="0" collapsed="false">
      <c r="A244" s="1" t="s">
        <v>13</v>
      </c>
      <c r="B244" s="1" t="s">
        <v>172</v>
      </c>
      <c r="C244" s="1" t="str">
        <f aca="false">IF(D244="PRE","N/A",
IF(D244="SUP","N/A",
IF(D244="Single-choice",H244,
IF(D244="Single-choice w/ correct",H244,
IF(D244="Series", LEFT(H244,FIND("_",H244)-1) &amp; "_" &amp; MID(H244,FIND("_",H244,FIND("_",H244)+1)+1,999)
)))))</f>
        <v>PPEFF_W127</v>
      </c>
      <c r="D244" s="6" t="s">
        <v>55</v>
      </c>
      <c r="E244" s="7" t="str">
        <f aca="false">IF(D244="PRE","N/A", 
IF(D244="SUP",I244, 
IF(D244="Single-choice",I244, 
IF(D244="Single-choice w/ correct",I244, 
IF(D244="Series", LEFT(I244, FIND("    ",I244)
))))))</f>
        <v>How effective do you think privacy policies are as a way for companies to communicate how they are using people’s data?</v>
      </c>
      <c r="F244" s="8" t="str">
        <f aca="false">IF(D244="PRE",I244,
IF(D244="SUP",I244,
IF(D244="Single-choice","N/A",
IF(D244="Single-choice w/ correct","N/A",
IF(D244="Series", RIGHT(I244, LEN(I244) - FIND("    ",I244)-3
))))))</f>
        <v>N/A</v>
      </c>
      <c r="G244" s="6" t="s">
        <v>73</v>
      </c>
      <c r="H244" s="6" t="s">
        <v>249</v>
      </c>
      <c r="I244" s="9" t="s">
        <v>250</v>
      </c>
      <c r="J244" s="6" t="n">
        <v>1</v>
      </c>
      <c r="K244" s="6" t="s">
        <v>251</v>
      </c>
    </row>
    <row r="245" customFormat="false" ht="23.3" hidden="false" customHeight="false" outlineLevel="0" collapsed="false">
      <c r="A245" s="1" t="s">
        <v>13</v>
      </c>
      <c r="B245" s="1" t="s">
        <v>172</v>
      </c>
      <c r="C245" s="1" t="str">
        <f aca="false">IF(D245="PRE","N/A",
IF(D245="SUP","N/A",
IF(D245="Single-choice",H245,
IF(D245="Single-choice w/ correct",H245,
IF(D245="Series", LEFT(H245,FIND("_",H245)-1) &amp; "_" &amp; MID(H245,FIND("_",H245,FIND("_",H245)+1)+1,999)
)))))</f>
        <v>PPEFF_W127</v>
      </c>
      <c r="D245" s="6" t="s">
        <v>55</v>
      </c>
      <c r="E245" s="7" t="str">
        <f aca="false">IF(D245="PRE","N/A", 
IF(D245="SUP",I245, 
IF(D245="Single-choice",I245, 
IF(D245="Single-choice w/ correct",I245, 
IF(D245="Series", LEFT(I245, FIND("    ",I245)
))))))</f>
        <v>How effective do you think privacy policies are as a way for companies to communicate how they are using people’s data?</v>
      </c>
      <c r="F245" s="8" t="str">
        <f aca="false">IF(D245="PRE",I245,
IF(D245="SUP",I245,
IF(D245="Single-choice","N/A",
IF(D245="Single-choice w/ correct","N/A",
IF(D245="Series", RIGHT(I245, LEN(I245) - FIND("    ",I245)-3
))))))</f>
        <v>N/A</v>
      </c>
      <c r="G245" s="6" t="s">
        <v>73</v>
      </c>
      <c r="H245" s="10" t="s">
        <v>249</v>
      </c>
      <c r="I245" s="9" t="s">
        <v>250</v>
      </c>
      <c r="J245" s="10" t="n">
        <v>2</v>
      </c>
      <c r="K245" s="10" t="s">
        <v>252</v>
      </c>
    </row>
    <row r="246" customFormat="false" ht="23.3" hidden="false" customHeight="false" outlineLevel="0" collapsed="false">
      <c r="A246" s="1" t="s">
        <v>13</v>
      </c>
      <c r="B246" s="1" t="s">
        <v>172</v>
      </c>
      <c r="C246" s="1" t="str">
        <f aca="false">IF(D246="PRE","N/A",
IF(D246="SUP","N/A",
IF(D246="Single-choice",H246,
IF(D246="Single-choice w/ correct",H246,
IF(D246="Series", LEFT(H246,FIND("_",H246)-1) &amp; "_" &amp; MID(H246,FIND("_",H246,FIND("_",H246)+1)+1,999)
)))))</f>
        <v>PPEFF_W127</v>
      </c>
      <c r="D246" s="6" t="s">
        <v>55</v>
      </c>
      <c r="E246" s="7" t="str">
        <f aca="false">IF(D246="PRE","N/A", 
IF(D246="SUP",I246, 
IF(D246="Single-choice",I246, 
IF(D246="Single-choice w/ correct",I246, 
IF(D246="Series", LEFT(I246, FIND("    ",I246)
))))))</f>
        <v>How effective do you think privacy policies are as a way for companies to communicate how they are using people’s data?</v>
      </c>
      <c r="F246" s="8" t="str">
        <f aca="false">IF(D246="PRE",I246,
IF(D246="SUP",I246,
IF(D246="Single-choice","N/A",
IF(D246="Single-choice w/ correct","N/A",
IF(D246="Series", RIGHT(I246, LEN(I246) - FIND("    ",I246)-3
))))))</f>
        <v>N/A</v>
      </c>
      <c r="G246" s="6" t="s">
        <v>73</v>
      </c>
      <c r="H246" s="10" t="s">
        <v>249</v>
      </c>
      <c r="I246" s="9" t="s">
        <v>250</v>
      </c>
      <c r="J246" s="10" t="n">
        <v>3</v>
      </c>
      <c r="K246" s="10" t="s">
        <v>253</v>
      </c>
    </row>
    <row r="247" customFormat="false" ht="23.3" hidden="false" customHeight="false" outlineLevel="0" collapsed="false">
      <c r="A247" s="1" t="s">
        <v>13</v>
      </c>
      <c r="B247" s="1" t="s">
        <v>172</v>
      </c>
      <c r="C247" s="1" t="str">
        <f aca="false">IF(D247="PRE","N/A",
IF(D247="SUP","N/A",
IF(D247="Single-choice",H247,
IF(D247="Single-choice w/ correct",H247,
IF(D247="Series", LEFT(H247,FIND("_",H247)-1) &amp; "_" &amp; MID(H247,FIND("_",H247,FIND("_",H247)+1)+1,999)
)))))</f>
        <v>PPEFF_W127</v>
      </c>
      <c r="D247" s="6" t="s">
        <v>55</v>
      </c>
      <c r="E247" s="7" t="str">
        <f aca="false">IF(D247="PRE","N/A", 
IF(D247="SUP",I247, 
IF(D247="Single-choice",I247, 
IF(D247="Single-choice w/ correct",I247, 
IF(D247="Series", LEFT(I247, FIND("    ",I247)
))))))</f>
        <v>How effective do you think privacy policies are as a way for companies to communicate how they are using people’s data?</v>
      </c>
      <c r="F247" s="8" t="str">
        <f aca="false">IF(D247="PRE",I247,
IF(D247="SUP",I247,
IF(D247="Single-choice","N/A",
IF(D247="Single-choice w/ correct","N/A",
IF(D247="Series", RIGHT(I247, LEN(I247) - FIND("    ",I247)-3
))))))</f>
        <v>N/A</v>
      </c>
      <c r="G247" s="6" t="s">
        <v>73</v>
      </c>
      <c r="H247" s="10" t="s">
        <v>249</v>
      </c>
      <c r="I247" s="9" t="s">
        <v>250</v>
      </c>
      <c r="J247" s="10" t="n">
        <v>4</v>
      </c>
      <c r="K247" s="10" t="s">
        <v>254</v>
      </c>
    </row>
    <row r="248" customFormat="false" ht="23.3" hidden="false" customHeight="false" outlineLevel="0" collapsed="false">
      <c r="A248" s="1" t="s">
        <v>13</v>
      </c>
      <c r="B248" s="1" t="s">
        <v>172</v>
      </c>
      <c r="C248" s="1" t="str">
        <f aca="false">IF(D248="PRE","N/A",
IF(D248="SUP","N/A",
IF(D248="Single-choice",H248,
IF(D248="Single-choice w/ correct",H248,
IF(D248="Series", LEFT(H248,FIND("_",H248)-1) &amp; "_" &amp; MID(H248,FIND("_",H248,FIND("_",H248)+1)+1,999)
)))))</f>
        <v>PPEFF_W127</v>
      </c>
      <c r="D248" s="6" t="s">
        <v>55</v>
      </c>
      <c r="E248" s="7" t="str">
        <f aca="false">IF(D248="PRE","N/A", 
IF(D248="SUP",I248, 
IF(D248="Single-choice",I248, 
IF(D248="Single-choice w/ correct",I248, 
IF(D248="Series", LEFT(I248, FIND("    ",I248)
))))))</f>
        <v>How effective do you think privacy policies are as a way for companies to communicate how they are using people’s data?</v>
      </c>
      <c r="F248" s="8" t="str">
        <f aca="false">IF(D248="PRE",I248,
IF(D248="SUP",I248,
IF(D248="Single-choice","N/A",
IF(D248="Single-choice w/ correct","N/A",
IF(D248="Series", RIGHT(I248, LEN(I248) - FIND("    ",I248)-3
))))))</f>
        <v>N/A</v>
      </c>
      <c r="G248" s="6" t="s">
        <v>73</v>
      </c>
      <c r="H248" s="10" t="s">
        <v>249</v>
      </c>
      <c r="I248" s="9" t="s">
        <v>250</v>
      </c>
      <c r="J248" s="10" t="n">
        <v>5</v>
      </c>
      <c r="K248" s="10" t="s">
        <v>255</v>
      </c>
    </row>
    <row r="249" customFormat="false" ht="23.3" hidden="false" customHeight="false" outlineLevel="0" collapsed="false">
      <c r="A249" s="1" t="s">
        <v>13</v>
      </c>
      <c r="B249" s="1" t="s">
        <v>172</v>
      </c>
      <c r="C249" s="1" t="str">
        <f aca="false">IF(D249="PRE","N/A",
IF(D249="SUP","N/A",
IF(D249="Single-choice",H249,
IF(D249="Single-choice w/ correct",H249,
IF(D249="Series", LEFT(H249,FIND("_",H249)-1) &amp; "_" &amp; MID(H249,FIND("_",H249,FIND("_",H249)+1)+1,999)
)))))</f>
        <v>PPEFF_W127</v>
      </c>
      <c r="D249" s="6" t="s">
        <v>55</v>
      </c>
      <c r="E249" s="7" t="str">
        <f aca="false">IF(D249="PRE","N/A", 
IF(D249="SUP",I249, 
IF(D249="Single-choice",I249, 
IF(D249="Single-choice w/ correct",I249, 
IF(D249="Series", LEFT(I249, FIND("    ",I249)
))))))</f>
        <v>How effective do you think privacy policies are as a way for companies to communicate how they are using people’s data?</v>
      </c>
      <c r="F249" s="8" t="str">
        <f aca="false">IF(D249="PRE",I249,
IF(D249="SUP",I249,
IF(D249="Single-choice","N/A",
IF(D249="Single-choice w/ correct","N/A",
IF(D249="Series", RIGHT(I249, LEN(I249) - FIND("    ",I249)-3
))))))</f>
        <v>N/A</v>
      </c>
      <c r="G249" s="6" t="s">
        <v>73</v>
      </c>
      <c r="H249" s="10" t="s">
        <v>249</v>
      </c>
      <c r="I249" s="9" t="s">
        <v>250</v>
      </c>
      <c r="J249" s="10" t="n">
        <v>99</v>
      </c>
      <c r="K249" s="10" t="s">
        <v>64</v>
      </c>
    </row>
    <row r="250" customFormat="false" ht="15" hidden="false" customHeight="true" outlineLevel="0" collapsed="false">
      <c r="A250" s="1" t="s">
        <v>13</v>
      </c>
      <c r="B250" s="1" t="s">
        <v>172</v>
      </c>
      <c r="C250" s="1" t="str">
        <f aca="false">IF(D250="PRE","N/A",
IF(D250="SUP","N/A",
IF(D250="Single-choice",H250,
IF(D250="Single-choice w/ correct",H250,
IF(D250="Series", LEFT(H250,FIND("_",H250)-1) &amp; "_" &amp; MID(H250,FIND("_",H250,FIND("_",H250)+1)+1,999)
)))))</f>
        <v>PPUSE_W127</v>
      </c>
      <c r="D250" s="6" t="s">
        <v>55</v>
      </c>
      <c r="E250" s="7" t="str">
        <f aca="false">IF(D250="PRE","N/A", 
IF(D250="SUP",I250, 
IF(D250="Single-choice",I250, 
IF(D250="Single-choice w/ correct",I250, 
IF(D250="Series", LEFT(I250, FIND("    ",I250)
))))))</f>
        <v>Which of the following comes closer to your view, even if neither is exactly right? Privacy policies are …</v>
      </c>
      <c r="F250" s="8" t="str">
        <f aca="false">IF(D250="PRE",I250,
IF(D250="SUP",I250,
IF(D250="Single-choice","N/A",
IF(D250="Single-choice w/ correct","N/A",
IF(D250="Series", RIGHT(I250, LEN(I250) - FIND("    ",I250)-3
))))))</f>
        <v>N/A</v>
      </c>
      <c r="G250" s="6" t="s">
        <v>73</v>
      </c>
      <c r="H250" s="6" t="s">
        <v>256</v>
      </c>
      <c r="I250" s="9" t="s">
        <v>257</v>
      </c>
      <c r="J250" s="6" t="n">
        <v>1</v>
      </c>
      <c r="K250" s="6" t="s">
        <v>258</v>
      </c>
    </row>
    <row r="251" customFormat="false" ht="23.3" hidden="false" customHeight="false" outlineLevel="0" collapsed="false">
      <c r="A251" s="1" t="s">
        <v>13</v>
      </c>
      <c r="B251" s="1" t="s">
        <v>172</v>
      </c>
      <c r="C251" s="1" t="str">
        <f aca="false">IF(D251="PRE","N/A",
IF(D251="SUP","N/A",
IF(D251="Single-choice",H251,
IF(D251="Single-choice w/ correct",H251,
IF(D251="Series", LEFT(H251,FIND("_",H251)-1) &amp; "_" &amp; MID(H251,FIND("_",H251,FIND("_",H251)+1)+1,999)
)))))</f>
        <v>PPUSE_W127</v>
      </c>
      <c r="D251" s="6" t="s">
        <v>55</v>
      </c>
      <c r="E251" s="7" t="str">
        <f aca="false">IF(D251="PRE","N/A", 
IF(D251="SUP",I251, 
IF(D251="Single-choice",I251, 
IF(D251="Single-choice w/ correct",I251, 
IF(D251="Series", LEFT(I251, FIND("    ",I251)
))))))</f>
        <v>Which of the following comes closer to your view, even if neither is exactly right? Privacy policies are …</v>
      </c>
      <c r="F251" s="8" t="str">
        <f aca="false">IF(D251="PRE",I251,
IF(D251="SUP",I251,
IF(D251="Single-choice","N/A",
IF(D251="Single-choice w/ correct","N/A",
IF(D251="Series", RIGHT(I251, LEN(I251) - FIND("    ",I251)-3
))))))</f>
        <v>N/A</v>
      </c>
      <c r="G251" s="6" t="s">
        <v>73</v>
      </c>
      <c r="H251" s="10" t="s">
        <v>256</v>
      </c>
      <c r="I251" s="9" t="s">
        <v>257</v>
      </c>
      <c r="J251" s="10" t="n">
        <v>2</v>
      </c>
      <c r="K251" s="10" t="s">
        <v>259</v>
      </c>
    </row>
    <row r="252" customFormat="false" ht="23.3" hidden="false" customHeight="false" outlineLevel="0" collapsed="false">
      <c r="A252" s="1" t="s">
        <v>13</v>
      </c>
      <c r="B252" s="1" t="s">
        <v>172</v>
      </c>
      <c r="C252" s="1" t="str">
        <f aca="false">IF(D252="PRE","N/A",
IF(D252="SUP","N/A",
IF(D252="Single-choice",H252,
IF(D252="Single-choice w/ correct",H252,
IF(D252="Series", LEFT(H252,FIND("_",H252)-1) &amp; "_" &amp; MID(H252,FIND("_",H252,FIND("_",H252)+1)+1,999)
)))))</f>
        <v>PPUSE_W127</v>
      </c>
      <c r="D252" s="6" t="s">
        <v>55</v>
      </c>
      <c r="E252" s="7" t="str">
        <f aca="false">IF(D252="PRE","N/A", 
IF(D252="SUP",I252, 
IF(D252="Single-choice",I252, 
IF(D252="Single-choice w/ correct",I252, 
IF(D252="Series", LEFT(I252, FIND("    ",I252)
))))))</f>
        <v>Which of the following comes closer to your view, even if neither is exactly right? Privacy policies are …</v>
      </c>
      <c r="F252" s="8" t="str">
        <f aca="false">IF(D252="PRE",I252,
IF(D252="SUP",I252,
IF(D252="Single-choice","N/A",
IF(D252="Single-choice w/ correct","N/A",
IF(D252="Series", RIGHT(I252, LEN(I252) - FIND("    ",I252)-3
))))))</f>
        <v>N/A</v>
      </c>
      <c r="G252" s="6" t="s">
        <v>73</v>
      </c>
      <c r="H252" s="10" t="s">
        <v>256</v>
      </c>
      <c r="I252" s="9" t="s">
        <v>257</v>
      </c>
      <c r="J252" s="10" t="n">
        <v>99</v>
      </c>
      <c r="K252" s="10" t="s">
        <v>64</v>
      </c>
    </row>
    <row r="253" customFormat="false" ht="15" hidden="false" customHeight="true" outlineLevel="0" collapsed="false">
      <c r="A253" s="1" t="s">
        <v>13</v>
      </c>
      <c r="B253" s="1" t="s">
        <v>172</v>
      </c>
      <c r="C253" s="1" t="str">
        <f aca="false">IF(D253="PRE","N/A",
IF(D253="SUP","N/A",
IF(D253="Single-choice",H253,
IF(D253="Single-choice w/ correct",H253,
IF(D253="Series", LEFT(H253,FIND("_",H253)-1) &amp; "_" &amp; MID(H253,FIND("_",H253,FIND("_",H253)+1)+1,999)
)))))</f>
        <v>SMLEAD_W127</v>
      </c>
      <c r="D253" s="6" t="s">
        <v>78</v>
      </c>
      <c r="E253" s="7" t="str">
        <f aca="false">IF(D253="PRE","N/A", 
IF(D253="SUP",I253, 
IF(D253="Single-choice",I253, 
IF(D253="Single-choice w/ correct",I253, 
IF(D253="Series", LEFT(I253, FIND("    ",I253)
))))))</f>
        <v>How much do you trust that leaders of social media companies will… </v>
      </c>
      <c r="F253" s="8" t="str">
        <f aca="false">IF(D253="PRE",I253,
IF(D253="SUP",I253,
IF(D253="Single-choice","N/A",
IF(D253="Single-choice w/ correct","N/A",
IF(D253="Series", RIGHT(I253, LEN(I253) - FIND("    ",I253)-3
))))))</f>
        <v>Publicly admit mistakes and take responsibility when they misuse or compromise users’ personal data</v>
      </c>
      <c r="G253" s="6" t="s">
        <v>56</v>
      </c>
      <c r="H253" s="6" t="s">
        <v>260</v>
      </c>
      <c r="I253" s="9" t="s">
        <v>261</v>
      </c>
      <c r="J253" s="6" t="n">
        <v>1</v>
      </c>
      <c r="K253" s="6" t="s">
        <v>222</v>
      </c>
    </row>
    <row r="254" customFormat="false" ht="34.2" hidden="false" customHeight="false" outlineLevel="0" collapsed="false">
      <c r="A254" s="1" t="s">
        <v>13</v>
      </c>
      <c r="B254" s="1" t="s">
        <v>172</v>
      </c>
      <c r="C254" s="1" t="str">
        <f aca="false">IF(D254="PRE","N/A",
IF(D254="SUP","N/A",
IF(D254="Single-choice",H254,
IF(D254="Single-choice w/ correct",H254,
IF(D254="Series", LEFT(H254,FIND("_",H254)-1) &amp; "_" &amp; MID(H254,FIND("_",H254,FIND("_",H254)+1)+1,999)
)))))</f>
        <v>SMLEAD_W127</v>
      </c>
      <c r="D254" s="6" t="s">
        <v>78</v>
      </c>
      <c r="E254" s="7" t="str">
        <f aca="false">IF(D254="PRE","N/A", 
IF(D254="SUP",I254, 
IF(D254="Single-choice",I254, 
IF(D254="Single-choice w/ correct",I254, 
IF(D254="Series", LEFT(I254, FIND("    ",I254)
))))))</f>
        <v>How much do you trust that leaders of social media companies will… </v>
      </c>
      <c r="F254" s="8" t="str">
        <f aca="false">IF(D254="PRE",I254,
IF(D254="SUP",I254,
IF(D254="Single-choice","N/A",
IF(D254="Single-choice w/ correct","N/A",
IF(D254="Series", RIGHT(I254, LEN(I254) - FIND("    ",I254)-3
))))))</f>
        <v>Publicly admit mistakes and take responsibility when they misuse or compromise users’ personal data</v>
      </c>
      <c r="G254" s="6" t="s">
        <v>56</v>
      </c>
      <c r="H254" s="10" t="s">
        <v>260</v>
      </c>
      <c r="I254" s="9" t="s">
        <v>261</v>
      </c>
      <c r="J254" s="10" t="n">
        <v>2</v>
      </c>
      <c r="K254" s="10" t="s">
        <v>223</v>
      </c>
    </row>
    <row r="255" customFormat="false" ht="34.2" hidden="false" customHeight="false" outlineLevel="0" collapsed="false">
      <c r="A255" s="1" t="s">
        <v>13</v>
      </c>
      <c r="B255" s="1" t="s">
        <v>172</v>
      </c>
      <c r="C255" s="1" t="str">
        <f aca="false">IF(D255="PRE","N/A",
IF(D255="SUP","N/A",
IF(D255="Single-choice",H255,
IF(D255="Single-choice w/ correct",H255,
IF(D255="Series", LEFT(H255,FIND("_",H255)-1) &amp; "_" &amp; MID(H255,FIND("_",H255,FIND("_",H255)+1)+1,999)
)))))</f>
        <v>SMLEAD_W127</v>
      </c>
      <c r="D255" s="6" t="s">
        <v>78</v>
      </c>
      <c r="E255" s="7" t="str">
        <f aca="false">IF(D255="PRE","N/A", 
IF(D255="SUP",I255, 
IF(D255="Single-choice",I255, 
IF(D255="Single-choice w/ correct",I255, 
IF(D255="Series", LEFT(I255, FIND("    ",I255)
))))))</f>
        <v>How much do you trust that leaders of social media companies will… </v>
      </c>
      <c r="F255" s="8" t="str">
        <f aca="false">IF(D255="PRE",I255,
IF(D255="SUP",I255,
IF(D255="Single-choice","N/A",
IF(D255="Single-choice w/ correct","N/A",
IF(D255="Series", RIGHT(I255, LEN(I255) - FIND("    ",I255)-3
))))))</f>
        <v>Publicly admit mistakes and take responsibility when they misuse or compromise users’ personal data</v>
      </c>
      <c r="G255" s="6" t="s">
        <v>56</v>
      </c>
      <c r="H255" s="10" t="s">
        <v>260</v>
      </c>
      <c r="I255" s="9" t="s">
        <v>261</v>
      </c>
      <c r="J255" s="10" t="n">
        <v>3</v>
      </c>
      <c r="K255" s="10" t="s">
        <v>224</v>
      </c>
    </row>
    <row r="256" customFormat="false" ht="34.2" hidden="false" customHeight="false" outlineLevel="0" collapsed="false">
      <c r="A256" s="1" t="s">
        <v>13</v>
      </c>
      <c r="B256" s="1" t="s">
        <v>172</v>
      </c>
      <c r="C256" s="1" t="str">
        <f aca="false">IF(D256="PRE","N/A",
IF(D256="SUP","N/A",
IF(D256="Single-choice",H256,
IF(D256="Single-choice w/ correct",H256,
IF(D256="Series", LEFT(H256,FIND("_",H256)-1) &amp; "_" &amp; MID(H256,FIND("_",H256,FIND("_",H256)+1)+1,999)
)))))</f>
        <v>SMLEAD_W127</v>
      </c>
      <c r="D256" s="6" t="s">
        <v>78</v>
      </c>
      <c r="E256" s="7" t="str">
        <f aca="false">IF(D256="PRE","N/A", 
IF(D256="SUP",I256, 
IF(D256="Single-choice",I256, 
IF(D256="Single-choice w/ correct",I256, 
IF(D256="Series", LEFT(I256, FIND("    ",I256)
))))))</f>
        <v>How much do you trust that leaders of social media companies will… </v>
      </c>
      <c r="F256" s="8" t="str">
        <f aca="false">IF(D256="PRE",I256,
IF(D256="SUP",I256,
IF(D256="Single-choice","N/A",
IF(D256="Single-choice w/ correct","N/A",
IF(D256="Series", RIGHT(I256, LEN(I256) - FIND("    ",I256)-3
))))))</f>
        <v>Publicly admit mistakes and take responsibility when they misuse or compromise users’ personal data</v>
      </c>
      <c r="G256" s="6" t="s">
        <v>56</v>
      </c>
      <c r="H256" s="10" t="s">
        <v>260</v>
      </c>
      <c r="I256" s="9" t="s">
        <v>261</v>
      </c>
      <c r="J256" s="10" t="n">
        <v>4</v>
      </c>
      <c r="K256" s="10" t="s">
        <v>262</v>
      </c>
    </row>
    <row r="257" customFormat="false" ht="34.2" hidden="false" customHeight="false" outlineLevel="0" collapsed="false">
      <c r="A257" s="1" t="s">
        <v>13</v>
      </c>
      <c r="B257" s="1" t="s">
        <v>172</v>
      </c>
      <c r="C257" s="1" t="str">
        <f aca="false">IF(D257="PRE","N/A",
IF(D257="SUP","N/A",
IF(D257="Single-choice",H257,
IF(D257="Single-choice w/ correct",H257,
IF(D257="Series", LEFT(H257,FIND("_",H257)-1) &amp; "_" &amp; MID(H257,FIND("_",H257,FIND("_",H257)+1)+1,999)
)))))</f>
        <v>SMLEAD_W127</v>
      </c>
      <c r="D257" s="6" t="s">
        <v>78</v>
      </c>
      <c r="E257" s="7" t="str">
        <f aca="false">IF(D257="PRE","N/A", 
IF(D257="SUP",I257, 
IF(D257="Single-choice",I257, 
IF(D257="Single-choice w/ correct",I257, 
IF(D257="Series", LEFT(I257, FIND("    ",I257)
))))))</f>
        <v>How much do you trust that leaders of social media companies will… </v>
      </c>
      <c r="F257" s="8" t="str">
        <f aca="false">IF(D257="PRE",I257,
IF(D257="SUP",I257,
IF(D257="Single-choice","N/A",
IF(D257="Single-choice w/ correct","N/A",
IF(D257="Series", RIGHT(I257, LEN(I257) - FIND("    ",I257)-3
))))))</f>
        <v>Publicly admit mistakes and take responsibility when they misuse or compromise users’ personal data</v>
      </c>
      <c r="G257" s="6" t="s">
        <v>56</v>
      </c>
      <c r="H257" s="10" t="s">
        <v>260</v>
      </c>
      <c r="I257" s="9" t="s">
        <v>261</v>
      </c>
      <c r="J257" s="10" t="n">
        <v>5</v>
      </c>
      <c r="K257" s="10" t="s">
        <v>124</v>
      </c>
    </row>
    <row r="258" customFormat="false" ht="34.2" hidden="false" customHeight="false" outlineLevel="0" collapsed="false">
      <c r="A258" s="1" t="s">
        <v>13</v>
      </c>
      <c r="B258" s="1" t="s">
        <v>172</v>
      </c>
      <c r="C258" s="1" t="str">
        <f aca="false">IF(D258="PRE","N/A",
IF(D258="SUP","N/A",
IF(D258="Single-choice",H258,
IF(D258="Single-choice w/ correct",H258,
IF(D258="Series", LEFT(H258,FIND("_",H258)-1) &amp; "_" &amp; MID(H258,FIND("_",H258,FIND("_",H258)+1)+1,999)
)))))</f>
        <v>SMLEAD_W127</v>
      </c>
      <c r="D258" s="6" t="s">
        <v>78</v>
      </c>
      <c r="E258" s="7" t="str">
        <f aca="false">IF(D258="PRE","N/A", 
IF(D258="SUP",I258, 
IF(D258="Single-choice",I258, 
IF(D258="Single-choice w/ correct",I258, 
IF(D258="Series", LEFT(I258, FIND("    ",I258)
))))))</f>
        <v>How much do you trust that leaders of social media companies will… </v>
      </c>
      <c r="F258" s="8" t="str">
        <f aca="false">IF(D258="PRE",I258,
IF(D258="SUP",I258,
IF(D258="Single-choice","N/A",
IF(D258="Single-choice w/ correct","N/A",
IF(D258="Series", RIGHT(I258, LEN(I258) - FIND("    ",I258)-3
))))))</f>
        <v>Publicly admit mistakes and take responsibility when they misuse or compromise users’ personal data</v>
      </c>
      <c r="G258" s="6" t="s">
        <v>56</v>
      </c>
      <c r="H258" s="10" t="s">
        <v>260</v>
      </c>
      <c r="I258" s="9" t="s">
        <v>261</v>
      </c>
      <c r="J258" s="10" t="n">
        <v>99</v>
      </c>
      <c r="K258" s="10" t="s">
        <v>64</v>
      </c>
    </row>
    <row r="259" customFormat="false" ht="15" hidden="false" customHeight="true" outlineLevel="0" collapsed="false">
      <c r="A259" s="1" t="s">
        <v>13</v>
      </c>
      <c r="B259" s="1" t="s">
        <v>172</v>
      </c>
      <c r="C259" s="1" t="str">
        <f aca="false">IF(D259="PRE","N/A",
IF(D259="SUP","N/A",
IF(D259="Single-choice",H259,
IF(D259="Single-choice w/ correct",H259,
IF(D259="Series", LEFT(H259,FIND("_",H259)-1) &amp; "_" &amp; MID(H259,FIND("_",H259,FIND("_",H259)+1)+1,999)
)))))</f>
        <v>SMLEAD_W127</v>
      </c>
      <c r="D259" s="6" t="s">
        <v>78</v>
      </c>
      <c r="E259" s="7" t="str">
        <f aca="false">IF(D259="PRE","N/A", 
IF(D259="SUP",I259, 
IF(D259="Single-choice",I259, 
IF(D259="Single-choice w/ correct",I259, 
IF(D259="Series", LEFT(I259, FIND("    ",I259)
))))))</f>
        <v>How much do you trust that leaders of social media companies will… </v>
      </c>
      <c r="F259" s="8" t="str">
        <f aca="false">IF(D259="PRE",I259,
IF(D259="SUP",I259,
IF(D259="Single-choice","N/A",
IF(D259="Single-choice w/ correct","N/A",
IF(D259="Series", RIGHT(I259, LEN(I259) - FIND("    ",I259)-3
))))))</f>
        <v>Be held accountable by the government if they misuse or compromise users’ personal data</v>
      </c>
      <c r="G259" s="6" t="s">
        <v>56</v>
      </c>
      <c r="H259" s="6" t="s">
        <v>263</v>
      </c>
      <c r="I259" s="9" t="s">
        <v>264</v>
      </c>
      <c r="J259" s="6" t="n">
        <v>1</v>
      </c>
      <c r="K259" s="6" t="s">
        <v>222</v>
      </c>
    </row>
    <row r="260" customFormat="false" ht="34.2" hidden="false" customHeight="false" outlineLevel="0" collapsed="false">
      <c r="A260" s="1" t="s">
        <v>13</v>
      </c>
      <c r="B260" s="1" t="s">
        <v>172</v>
      </c>
      <c r="C260" s="1" t="str">
        <f aca="false">IF(D260="PRE","N/A",
IF(D260="SUP","N/A",
IF(D260="Single-choice",H260,
IF(D260="Single-choice w/ correct",H260,
IF(D260="Series", LEFT(H260,FIND("_",H260)-1) &amp; "_" &amp; MID(H260,FIND("_",H260,FIND("_",H260)+1)+1,999)
)))))</f>
        <v>SMLEAD_W127</v>
      </c>
      <c r="D260" s="6" t="s">
        <v>78</v>
      </c>
      <c r="E260" s="7" t="str">
        <f aca="false">IF(D260="PRE","N/A", 
IF(D260="SUP",I260, 
IF(D260="Single-choice",I260, 
IF(D260="Single-choice w/ correct",I260, 
IF(D260="Series", LEFT(I260, FIND("    ",I260)
))))))</f>
        <v>How much do you trust that leaders of social media companies will… </v>
      </c>
      <c r="F260" s="8" t="str">
        <f aca="false">IF(D260="PRE",I260,
IF(D260="SUP",I260,
IF(D260="Single-choice","N/A",
IF(D260="Single-choice w/ correct","N/A",
IF(D260="Series", RIGHT(I260, LEN(I260) - FIND("    ",I260)-3
))))))</f>
        <v>Be held accountable by the government if they misuse or compromise users’ personal data</v>
      </c>
      <c r="G260" s="6" t="s">
        <v>56</v>
      </c>
      <c r="H260" s="10" t="s">
        <v>263</v>
      </c>
      <c r="I260" s="9" t="s">
        <v>264</v>
      </c>
      <c r="J260" s="10" t="n">
        <v>2</v>
      </c>
      <c r="K260" s="10" t="s">
        <v>223</v>
      </c>
    </row>
    <row r="261" customFormat="false" ht="34.2" hidden="false" customHeight="false" outlineLevel="0" collapsed="false">
      <c r="A261" s="1" t="s">
        <v>13</v>
      </c>
      <c r="B261" s="1" t="s">
        <v>172</v>
      </c>
      <c r="C261" s="1" t="str">
        <f aca="false">IF(D261="PRE","N/A",
IF(D261="SUP","N/A",
IF(D261="Single-choice",H261,
IF(D261="Single-choice w/ correct",H261,
IF(D261="Series", LEFT(H261,FIND("_",H261)-1) &amp; "_" &amp; MID(H261,FIND("_",H261,FIND("_",H261)+1)+1,999)
)))))</f>
        <v>SMLEAD_W127</v>
      </c>
      <c r="D261" s="6" t="s">
        <v>78</v>
      </c>
      <c r="E261" s="7" t="str">
        <f aca="false">IF(D261="PRE","N/A", 
IF(D261="SUP",I261, 
IF(D261="Single-choice",I261, 
IF(D261="Single-choice w/ correct",I261, 
IF(D261="Series", LEFT(I261, FIND("    ",I261)
))))))</f>
        <v>How much do you trust that leaders of social media companies will… </v>
      </c>
      <c r="F261" s="8" t="str">
        <f aca="false">IF(D261="PRE",I261,
IF(D261="SUP",I261,
IF(D261="Single-choice","N/A",
IF(D261="Single-choice w/ correct","N/A",
IF(D261="Series", RIGHT(I261, LEN(I261) - FIND("    ",I261)-3
))))))</f>
        <v>Be held accountable by the government if they misuse or compromise users’ personal data</v>
      </c>
      <c r="G261" s="6" t="s">
        <v>56</v>
      </c>
      <c r="H261" s="10" t="s">
        <v>263</v>
      </c>
      <c r="I261" s="9" t="s">
        <v>264</v>
      </c>
      <c r="J261" s="10" t="n">
        <v>3</v>
      </c>
      <c r="K261" s="10" t="s">
        <v>224</v>
      </c>
    </row>
    <row r="262" customFormat="false" ht="34.2" hidden="false" customHeight="false" outlineLevel="0" collapsed="false">
      <c r="A262" s="1" t="s">
        <v>13</v>
      </c>
      <c r="B262" s="1" t="s">
        <v>172</v>
      </c>
      <c r="C262" s="1" t="str">
        <f aca="false">IF(D262="PRE","N/A",
IF(D262="SUP","N/A",
IF(D262="Single-choice",H262,
IF(D262="Single-choice w/ correct",H262,
IF(D262="Series", LEFT(H262,FIND("_",H262)-1) &amp; "_" &amp; MID(H262,FIND("_",H262,FIND("_",H262)+1)+1,999)
)))))</f>
        <v>SMLEAD_W127</v>
      </c>
      <c r="D262" s="6" t="s">
        <v>78</v>
      </c>
      <c r="E262" s="7" t="str">
        <f aca="false">IF(D262="PRE","N/A", 
IF(D262="SUP",I262, 
IF(D262="Single-choice",I262, 
IF(D262="Single-choice w/ correct",I262, 
IF(D262="Series", LEFT(I262, FIND("    ",I262)
))))))</f>
        <v>How much do you trust that leaders of social media companies will… </v>
      </c>
      <c r="F262" s="8" t="str">
        <f aca="false">IF(D262="PRE",I262,
IF(D262="SUP",I262,
IF(D262="Single-choice","N/A",
IF(D262="Single-choice w/ correct","N/A",
IF(D262="Series", RIGHT(I262, LEN(I262) - FIND("    ",I262)-3
))))))</f>
        <v>Be held accountable by the government if they misuse or compromise users’ personal data</v>
      </c>
      <c r="G262" s="6" t="s">
        <v>56</v>
      </c>
      <c r="H262" s="10" t="s">
        <v>263</v>
      </c>
      <c r="I262" s="9" t="s">
        <v>264</v>
      </c>
      <c r="J262" s="10" t="n">
        <v>4</v>
      </c>
      <c r="K262" s="10" t="s">
        <v>262</v>
      </c>
    </row>
    <row r="263" customFormat="false" ht="34.2" hidden="false" customHeight="false" outlineLevel="0" collapsed="false">
      <c r="A263" s="1" t="s">
        <v>13</v>
      </c>
      <c r="B263" s="1" t="s">
        <v>172</v>
      </c>
      <c r="C263" s="1" t="str">
        <f aca="false">IF(D263="PRE","N/A",
IF(D263="SUP","N/A",
IF(D263="Single-choice",H263,
IF(D263="Single-choice w/ correct",H263,
IF(D263="Series", LEFT(H263,FIND("_",H263)-1) &amp; "_" &amp; MID(H263,FIND("_",H263,FIND("_",H263)+1)+1,999)
)))))</f>
        <v>SMLEAD_W127</v>
      </c>
      <c r="D263" s="6" t="s">
        <v>78</v>
      </c>
      <c r="E263" s="7" t="str">
        <f aca="false">IF(D263="PRE","N/A", 
IF(D263="SUP",I263, 
IF(D263="Single-choice",I263, 
IF(D263="Single-choice w/ correct",I263, 
IF(D263="Series", LEFT(I263, FIND("    ",I263)
))))))</f>
        <v>How much do you trust that leaders of social media companies will… </v>
      </c>
      <c r="F263" s="8" t="str">
        <f aca="false">IF(D263="PRE",I263,
IF(D263="SUP",I263,
IF(D263="Single-choice","N/A",
IF(D263="Single-choice w/ correct","N/A",
IF(D263="Series", RIGHT(I263, LEN(I263) - FIND("    ",I263)-3
))))))</f>
        <v>Be held accountable by the government if they misuse or compromise users’ personal data</v>
      </c>
      <c r="G263" s="6" t="s">
        <v>56</v>
      </c>
      <c r="H263" s="10" t="s">
        <v>263</v>
      </c>
      <c r="I263" s="9" t="s">
        <v>264</v>
      </c>
      <c r="J263" s="10" t="n">
        <v>5</v>
      </c>
      <c r="K263" s="10" t="s">
        <v>124</v>
      </c>
    </row>
    <row r="264" customFormat="false" ht="34.2" hidden="false" customHeight="false" outlineLevel="0" collapsed="false">
      <c r="A264" s="1" t="s">
        <v>13</v>
      </c>
      <c r="B264" s="1" t="s">
        <v>172</v>
      </c>
      <c r="C264" s="1" t="str">
        <f aca="false">IF(D264="PRE","N/A",
IF(D264="SUP","N/A",
IF(D264="Single-choice",H264,
IF(D264="Single-choice w/ correct",H264,
IF(D264="Series", LEFT(H264,FIND("_",H264)-1) &amp; "_" &amp; MID(H264,FIND("_",H264,FIND("_",H264)+1)+1,999)
)))))</f>
        <v>SMLEAD_W127</v>
      </c>
      <c r="D264" s="6" t="s">
        <v>78</v>
      </c>
      <c r="E264" s="7" t="str">
        <f aca="false">IF(D264="PRE","N/A", 
IF(D264="SUP",I264, 
IF(D264="Single-choice",I264, 
IF(D264="Single-choice w/ correct",I264, 
IF(D264="Series", LEFT(I264, FIND("    ",I264)
))))))</f>
        <v>How much do you trust that leaders of social media companies will… </v>
      </c>
      <c r="F264" s="8" t="str">
        <f aca="false">IF(D264="PRE",I264,
IF(D264="SUP",I264,
IF(D264="Single-choice","N/A",
IF(D264="Single-choice w/ correct","N/A",
IF(D264="Series", RIGHT(I264, LEN(I264) - FIND("    ",I264)-3
))))))</f>
        <v>Be held accountable by the government if they misuse or compromise users’ personal data</v>
      </c>
      <c r="G264" s="6" t="s">
        <v>56</v>
      </c>
      <c r="H264" s="10" t="s">
        <v>263</v>
      </c>
      <c r="I264" s="9" t="s">
        <v>264</v>
      </c>
      <c r="J264" s="10" t="n">
        <v>99</v>
      </c>
      <c r="K264" s="10" t="s">
        <v>64</v>
      </c>
    </row>
    <row r="265" customFormat="false" ht="15" hidden="false" customHeight="true" outlineLevel="0" collapsed="false">
      <c r="A265" s="1" t="s">
        <v>13</v>
      </c>
      <c r="B265" s="1" t="s">
        <v>172</v>
      </c>
      <c r="C265" s="1" t="str">
        <f aca="false">IF(D265="PRE","N/A",
IF(D265="SUP","N/A",
IF(D265="Single-choice",H265,
IF(D265="Single-choice w/ correct",H265,
IF(D265="Series", LEFT(H265,FIND("_",H265)-1) &amp; "_" &amp; MID(H265,FIND("_",H265,FIND("_",H265)+1)+1,999)
)))))</f>
        <v>SMLEAD_W127</v>
      </c>
      <c r="D265" s="6" t="s">
        <v>78</v>
      </c>
      <c r="E265" s="7" t="str">
        <f aca="false">IF(D265="PRE","N/A", 
IF(D265="SUP",I265, 
IF(D265="Single-choice",I265, 
IF(D265="Single-choice w/ correct",I265, 
IF(D265="Series", LEFT(I265, FIND("    ",I265)
))))))</f>
        <v>How much do you trust that leaders of social media companies will… </v>
      </c>
      <c r="F265" s="8" t="str">
        <f aca="false">IF(D265="PRE",I265,
IF(D265="SUP",I265,
IF(D265="Single-choice","N/A",
IF(D265="Single-choice w/ correct","N/A",
IF(D265="Series", RIGHT(I265, LEN(I265) - FIND("    ",I265)-3
))))))</f>
        <v>Not sell users’ personal data to others without their consent</v>
      </c>
      <c r="G265" s="6" t="s">
        <v>56</v>
      </c>
      <c r="H265" s="6" t="s">
        <v>265</v>
      </c>
      <c r="I265" s="9" t="s">
        <v>266</v>
      </c>
      <c r="J265" s="6" t="n">
        <v>1</v>
      </c>
      <c r="K265" s="6" t="s">
        <v>222</v>
      </c>
    </row>
    <row r="266" customFormat="false" ht="23.3" hidden="false" customHeight="false" outlineLevel="0" collapsed="false">
      <c r="A266" s="1" t="s">
        <v>13</v>
      </c>
      <c r="B266" s="1" t="s">
        <v>172</v>
      </c>
      <c r="C266" s="1" t="str">
        <f aca="false">IF(D266="PRE","N/A",
IF(D266="SUP","N/A",
IF(D266="Single-choice",H266,
IF(D266="Single-choice w/ correct",H266,
IF(D266="Series", LEFT(H266,FIND("_",H266)-1) &amp; "_" &amp; MID(H266,FIND("_",H266,FIND("_",H266)+1)+1,999)
)))))</f>
        <v>SMLEAD_W127</v>
      </c>
      <c r="D266" s="6" t="s">
        <v>78</v>
      </c>
      <c r="E266" s="7" t="str">
        <f aca="false">IF(D266="PRE","N/A", 
IF(D266="SUP",I266, 
IF(D266="Single-choice",I266, 
IF(D266="Single-choice w/ correct",I266, 
IF(D266="Series", LEFT(I266, FIND("    ",I266)
))))))</f>
        <v>How much do you trust that leaders of social media companies will… </v>
      </c>
      <c r="F266" s="8" t="str">
        <f aca="false">IF(D266="PRE",I266,
IF(D266="SUP",I266,
IF(D266="Single-choice","N/A",
IF(D266="Single-choice w/ correct","N/A",
IF(D266="Series", RIGHT(I266, LEN(I266) - FIND("    ",I266)-3
))))))</f>
        <v>Not sell users’ personal data to others without their consent</v>
      </c>
      <c r="G266" s="6" t="s">
        <v>56</v>
      </c>
      <c r="H266" s="10" t="s">
        <v>265</v>
      </c>
      <c r="I266" s="9" t="s">
        <v>266</v>
      </c>
      <c r="J266" s="10" t="n">
        <v>2</v>
      </c>
      <c r="K266" s="10" t="s">
        <v>223</v>
      </c>
    </row>
    <row r="267" customFormat="false" ht="23.3" hidden="false" customHeight="false" outlineLevel="0" collapsed="false">
      <c r="A267" s="1" t="s">
        <v>13</v>
      </c>
      <c r="B267" s="1" t="s">
        <v>172</v>
      </c>
      <c r="C267" s="1" t="str">
        <f aca="false">IF(D267="PRE","N/A",
IF(D267="SUP","N/A",
IF(D267="Single-choice",H267,
IF(D267="Single-choice w/ correct",H267,
IF(D267="Series", LEFT(H267,FIND("_",H267)-1) &amp; "_" &amp; MID(H267,FIND("_",H267,FIND("_",H267)+1)+1,999)
)))))</f>
        <v>SMLEAD_W127</v>
      </c>
      <c r="D267" s="6" t="s">
        <v>78</v>
      </c>
      <c r="E267" s="7" t="str">
        <f aca="false">IF(D267="PRE","N/A", 
IF(D267="SUP",I267, 
IF(D267="Single-choice",I267, 
IF(D267="Single-choice w/ correct",I267, 
IF(D267="Series", LEFT(I267, FIND("    ",I267)
))))))</f>
        <v>How much do you trust that leaders of social media companies will… </v>
      </c>
      <c r="F267" s="8" t="str">
        <f aca="false">IF(D267="PRE",I267,
IF(D267="SUP",I267,
IF(D267="Single-choice","N/A",
IF(D267="Single-choice w/ correct","N/A",
IF(D267="Series", RIGHT(I267, LEN(I267) - FIND("    ",I267)-3
))))))</f>
        <v>Not sell users’ personal data to others without their consent</v>
      </c>
      <c r="G267" s="6" t="s">
        <v>56</v>
      </c>
      <c r="H267" s="10" t="s">
        <v>265</v>
      </c>
      <c r="I267" s="9" t="s">
        <v>266</v>
      </c>
      <c r="J267" s="10" t="n">
        <v>3</v>
      </c>
      <c r="K267" s="10" t="s">
        <v>224</v>
      </c>
    </row>
    <row r="268" customFormat="false" ht="23.3" hidden="false" customHeight="false" outlineLevel="0" collapsed="false">
      <c r="A268" s="1" t="s">
        <v>13</v>
      </c>
      <c r="B268" s="1" t="s">
        <v>172</v>
      </c>
      <c r="C268" s="1" t="str">
        <f aca="false">IF(D268="PRE","N/A",
IF(D268="SUP","N/A",
IF(D268="Single-choice",H268,
IF(D268="Single-choice w/ correct",H268,
IF(D268="Series", LEFT(H268,FIND("_",H268)-1) &amp; "_" &amp; MID(H268,FIND("_",H268,FIND("_",H268)+1)+1,999)
)))))</f>
        <v>SMLEAD_W127</v>
      </c>
      <c r="D268" s="6" t="s">
        <v>78</v>
      </c>
      <c r="E268" s="7" t="str">
        <f aca="false">IF(D268="PRE","N/A", 
IF(D268="SUP",I268, 
IF(D268="Single-choice",I268, 
IF(D268="Single-choice w/ correct",I268, 
IF(D268="Series", LEFT(I268, FIND("    ",I268)
))))))</f>
        <v>How much do you trust that leaders of social media companies will… </v>
      </c>
      <c r="F268" s="8" t="str">
        <f aca="false">IF(D268="PRE",I268,
IF(D268="SUP",I268,
IF(D268="Single-choice","N/A",
IF(D268="Single-choice w/ correct","N/A",
IF(D268="Series", RIGHT(I268, LEN(I268) - FIND("    ",I268)-3
))))))</f>
        <v>Not sell users’ personal data to others without their consent</v>
      </c>
      <c r="G268" s="6" t="s">
        <v>56</v>
      </c>
      <c r="H268" s="10" t="s">
        <v>265</v>
      </c>
      <c r="I268" s="9" t="s">
        <v>266</v>
      </c>
      <c r="J268" s="10" t="n">
        <v>4</v>
      </c>
      <c r="K268" s="10" t="s">
        <v>262</v>
      </c>
    </row>
    <row r="269" customFormat="false" ht="23.3" hidden="false" customHeight="false" outlineLevel="0" collapsed="false">
      <c r="A269" s="1" t="s">
        <v>13</v>
      </c>
      <c r="B269" s="1" t="s">
        <v>172</v>
      </c>
      <c r="C269" s="1" t="str">
        <f aca="false">IF(D269="PRE","N/A",
IF(D269="SUP","N/A",
IF(D269="Single-choice",H269,
IF(D269="Single-choice w/ correct",H269,
IF(D269="Series", LEFT(H269,FIND("_",H269)-1) &amp; "_" &amp; MID(H269,FIND("_",H269,FIND("_",H269)+1)+1,999)
)))))</f>
        <v>SMLEAD_W127</v>
      </c>
      <c r="D269" s="6" t="s">
        <v>78</v>
      </c>
      <c r="E269" s="7" t="str">
        <f aca="false">IF(D269="PRE","N/A", 
IF(D269="SUP",I269, 
IF(D269="Single-choice",I269, 
IF(D269="Single-choice w/ correct",I269, 
IF(D269="Series", LEFT(I269, FIND("    ",I269)
))))))</f>
        <v>How much do you trust that leaders of social media companies will… </v>
      </c>
      <c r="F269" s="8" t="str">
        <f aca="false">IF(D269="PRE",I269,
IF(D269="SUP",I269,
IF(D269="Single-choice","N/A",
IF(D269="Single-choice w/ correct","N/A",
IF(D269="Series", RIGHT(I269, LEN(I269) - FIND("    ",I269)-3
))))))</f>
        <v>Not sell users’ personal data to others without their consent</v>
      </c>
      <c r="G269" s="6" t="s">
        <v>56</v>
      </c>
      <c r="H269" s="10" t="s">
        <v>265</v>
      </c>
      <c r="I269" s="9" t="s">
        <v>266</v>
      </c>
      <c r="J269" s="10" t="n">
        <v>5</v>
      </c>
      <c r="K269" s="10" t="s">
        <v>124</v>
      </c>
    </row>
    <row r="270" customFormat="false" ht="23.3" hidden="false" customHeight="false" outlineLevel="0" collapsed="false">
      <c r="A270" s="1" t="s">
        <v>13</v>
      </c>
      <c r="B270" s="1" t="s">
        <v>172</v>
      </c>
      <c r="C270" s="1" t="str">
        <f aca="false">IF(D270="PRE","N/A",
IF(D270="SUP","N/A",
IF(D270="Single-choice",H270,
IF(D270="Single-choice w/ correct",H270,
IF(D270="Series", LEFT(H270,FIND("_",H270)-1) &amp; "_" &amp; MID(H270,FIND("_",H270,FIND("_",H270)+1)+1,999)
)))))</f>
        <v>SMLEAD_W127</v>
      </c>
      <c r="D270" s="6" t="s">
        <v>78</v>
      </c>
      <c r="E270" s="7" t="str">
        <f aca="false">IF(D270="PRE","N/A", 
IF(D270="SUP",I270, 
IF(D270="Single-choice",I270, 
IF(D270="Single-choice w/ correct",I270, 
IF(D270="Series", LEFT(I270, FIND("    ",I270)
))))))</f>
        <v>How much do you trust that leaders of social media companies will… </v>
      </c>
      <c r="F270" s="8" t="str">
        <f aca="false">IF(D270="PRE",I270,
IF(D270="SUP",I270,
IF(D270="Single-choice","N/A",
IF(D270="Single-choice w/ correct","N/A",
IF(D270="Series", RIGHT(I270, LEN(I270) - FIND("    ",I270)-3
))))))</f>
        <v>Not sell users’ personal data to others without their consent</v>
      </c>
      <c r="G270" s="6" t="s">
        <v>56</v>
      </c>
      <c r="H270" s="10" t="s">
        <v>265</v>
      </c>
      <c r="I270" s="9" t="s">
        <v>266</v>
      </c>
      <c r="J270" s="10" t="n">
        <v>99</v>
      </c>
      <c r="K270" s="10" t="s">
        <v>64</v>
      </c>
    </row>
    <row r="271" customFormat="false" ht="15" hidden="false" customHeight="true" outlineLevel="0" collapsed="false">
      <c r="A271" s="1" t="s">
        <v>13</v>
      </c>
      <c r="B271" s="1" t="s">
        <v>172</v>
      </c>
      <c r="C271" s="1" t="str">
        <f aca="false">IF(D271="PRE","N/A",
IF(D271="SUP","N/A",
IF(D271="Single-choice",H271,
IF(D271="Single-choice w/ correct",H271,
IF(D271="Series", LEFT(H271,FIND("_",H271)-1) &amp; "_" &amp; MID(H271,FIND("_",H271,FIND("_",H271)+1)+1,999)
)))))</f>
        <v>TIKTOK_W127</v>
      </c>
      <c r="D271" s="6" t="s">
        <v>55</v>
      </c>
      <c r="E271" s="7" t="str">
        <f aca="false">IF(D271="PRE","N/A", 
IF(D271="SUP",I271, 
IF(D271="Single-choice",I271, 
IF(D271="Single-choice w/ correct",I271, 
IF(D271="Series", LEFT(I271, FIND("    ",I271)
))))))</f>
        <v>Do you use TikTok?</v>
      </c>
      <c r="F271" s="8" t="str">
        <f aca="false">IF(D271="PRE",I271,
IF(D271="SUP",I271,
IF(D271="Single-choice","N/A",
IF(D271="Single-choice w/ correct","N/A",
IF(D271="Series", RIGHT(I271, LEN(I271) - FIND("    ",I271)-3
))))))</f>
        <v>N/A</v>
      </c>
      <c r="G271" s="6" t="s">
        <v>56</v>
      </c>
      <c r="H271" s="6" t="s">
        <v>267</v>
      </c>
      <c r="I271" s="9" t="s">
        <v>268</v>
      </c>
      <c r="J271" s="6" t="n">
        <v>1</v>
      </c>
      <c r="K271" s="6" t="s">
        <v>269</v>
      </c>
    </row>
    <row r="272" customFormat="false" ht="15" hidden="false" customHeight="false" outlineLevel="0" collapsed="false">
      <c r="A272" s="1" t="s">
        <v>13</v>
      </c>
      <c r="B272" s="1" t="s">
        <v>172</v>
      </c>
      <c r="C272" s="1" t="str">
        <f aca="false">IF(D272="PRE","N/A",
IF(D272="SUP","N/A",
IF(D272="Single-choice",H272,
IF(D272="Single-choice w/ correct",H272,
IF(D272="Series", LEFT(H272,FIND("_",H272)-1) &amp; "_" &amp; MID(H272,FIND("_",H272,FIND("_",H272)+1)+1,999)
)))))</f>
        <v>TIKTOK_W127</v>
      </c>
      <c r="D272" s="6" t="s">
        <v>55</v>
      </c>
      <c r="E272" s="7" t="str">
        <f aca="false">IF(D272="PRE","N/A", 
IF(D272="SUP",I272, 
IF(D272="Single-choice",I272, 
IF(D272="Single-choice w/ correct",I272, 
IF(D272="Series", LEFT(I272, FIND("    ",I272)
))))))</f>
        <v>Do you use TikTok?</v>
      </c>
      <c r="F272" s="8" t="str">
        <f aca="false">IF(D272="PRE",I272,
IF(D272="SUP",I272,
IF(D272="Single-choice","N/A",
IF(D272="Single-choice w/ correct","N/A",
IF(D272="Series", RIGHT(I272, LEN(I272) - FIND("    ",I272)-3
))))))</f>
        <v>N/A</v>
      </c>
      <c r="G272" s="6" t="s">
        <v>56</v>
      </c>
      <c r="H272" s="10" t="s">
        <v>267</v>
      </c>
      <c r="I272" s="9" t="s">
        <v>268</v>
      </c>
      <c r="J272" s="10" t="n">
        <v>2</v>
      </c>
      <c r="K272" s="10" t="s">
        <v>270</v>
      </c>
    </row>
    <row r="273" customFormat="false" ht="15" hidden="false" customHeight="false" outlineLevel="0" collapsed="false">
      <c r="A273" s="1" t="s">
        <v>13</v>
      </c>
      <c r="B273" s="1" t="s">
        <v>172</v>
      </c>
      <c r="C273" s="1" t="str">
        <f aca="false">IF(D273="PRE","N/A",
IF(D273="SUP","N/A",
IF(D273="Single-choice",H273,
IF(D273="Single-choice w/ correct",H273,
IF(D273="Series", LEFT(H273,FIND("_",H273)-1) &amp; "_" &amp; MID(H273,FIND("_",H273,FIND("_",H273)+1)+1,999)
)))))</f>
        <v>TIKTOK_W127</v>
      </c>
      <c r="D273" s="6" t="s">
        <v>55</v>
      </c>
      <c r="E273" s="7" t="str">
        <f aca="false">IF(D273="PRE","N/A", 
IF(D273="SUP",I273, 
IF(D273="Single-choice",I273, 
IF(D273="Single-choice w/ correct",I273, 
IF(D273="Series", LEFT(I273, FIND("    ",I273)
))))))</f>
        <v>Do you use TikTok?</v>
      </c>
      <c r="F273" s="8" t="str">
        <f aca="false">IF(D273="PRE",I273,
IF(D273="SUP",I273,
IF(D273="Single-choice","N/A",
IF(D273="Single-choice w/ correct","N/A",
IF(D273="Series", RIGHT(I273, LEN(I273) - FIND("    ",I273)-3
))))))</f>
        <v>N/A</v>
      </c>
      <c r="G273" s="6" t="s">
        <v>56</v>
      </c>
      <c r="H273" s="10" t="s">
        <v>267</v>
      </c>
      <c r="I273" s="9" t="s">
        <v>268</v>
      </c>
      <c r="J273" s="10" t="n">
        <v>99</v>
      </c>
      <c r="K273" s="10" t="s">
        <v>64</v>
      </c>
    </row>
    <row r="274" customFormat="false" ht="15" hidden="false" customHeight="true" outlineLevel="0" collapsed="false">
      <c r="A274" s="1" t="s">
        <v>13</v>
      </c>
      <c r="B274" s="1" t="s">
        <v>172</v>
      </c>
      <c r="C274" s="1" t="str">
        <f aca="false">IF(D274="PRE","N/A",
IF(D274="SUP","N/A",
IF(D274="Single-choice",H274,
IF(D274="Single-choice w/ correct",H274,
IF(D274="Series", LEFT(H274,FIND("_",H274)-1) &amp; "_" &amp; MID(H274,FIND("_",H274,FIND("_",H274)+1)+1,999)
)))))</f>
        <v>TIKTHRT_W127</v>
      </c>
      <c r="D274" s="6" t="s">
        <v>55</v>
      </c>
      <c r="E274" s="7" t="str">
        <f aca="false">IF(D274="PRE","N/A", 
IF(D274="SUP",I274, 
IF(D274="Single-choice",I274, 
IF(D274="Single-choice w/ correct",I274, 
IF(D274="Series", LEFT(I274, FIND("    ",I274)
))))))</f>
        <v>How big of a threat do you think TikTok is to national security in the United States?</v>
      </c>
      <c r="F274" s="8" t="str">
        <f aca="false">IF(D274="PRE",I274,
IF(D274="SUP",I274,
IF(D274="Single-choice","N/A",
IF(D274="Single-choice w/ correct","N/A",
IF(D274="Series", RIGHT(I274, LEN(I274) - FIND("    ",I274)-3
))))))</f>
        <v>N/A</v>
      </c>
      <c r="G274" s="6" t="s">
        <v>56</v>
      </c>
      <c r="H274" s="6" t="s">
        <v>271</v>
      </c>
      <c r="I274" s="9" t="s">
        <v>272</v>
      </c>
      <c r="J274" s="6" t="n">
        <v>1</v>
      </c>
      <c r="K274" s="6" t="s">
        <v>273</v>
      </c>
    </row>
    <row r="275" customFormat="false" ht="23.3" hidden="false" customHeight="false" outlineLevel="0" collapsed="false">
      <c r="A275" s="1" t="s">
        <v>13</v>
      </c>
      <c r="B275" s="1" t="s">
        <v>172</v>
      </c>
      <c r="C275" s="1" t="str">
        <f aca="false">IF(D275="PRE","N/A",
IF(D275="SUP","N/A",
IF(D275="Single-choice",H275,
IF(D275="Single-choice w/ correct",H275,
IF(D275="Series", LEFT(H275,FIND("_",H275)-1) &amp; "_" &amp; MID(H275,FIND("_",H275,FIND("_",H275)+1)+1,999)
)))))</f>
        <v>TIKTHRT_W127</v>
      </c>
      <c r="D275" s="6" t="s">
        <v>55</v>
      </c>
      <c r="E275" s="7" t="str">
        <f aca="false">IF(D275="PRE","N/A", 
IF(D275="SUP",I275, 
IF(D275="Single-choice",I275, 
IF(D275="Single-choice w/ correct",I275, 
IF(D275="Series", LEFT(I275, FIND("    ",I275)
))))))</f>
        <v>How big of a threat do you think TikTok is to national security in the United States?</v>
      </c>
      <c r="F275" s="8" t="str">
        <f aca="false">IF(D275="PRE",I275,
IF(D275="SUP",I275,
IF(D275="Single-choice","N/A",
IF(D275="Single-choice w/ correct","N/A",
IF(D275="Series", RIGHT(I275, LEN(I275) - FIND("    ",I275)-3
))))))</f>
        <v>N/A</v>
      </c>
      <c r="G275" s="6" t="s">
        <v>56</v>
      </c>
      <c r="H275" s="10" t="s">
        <v>271</v>
      </c>
      <c r="I275" s="9" t="s">
        <v>272</v>
      </c>
      <c r="J275" s="10" t="n">
        <v>2</v>
      </c>
      <c r="K275" s="10" t="s">
        <v>274</v>
      </c>
    </row>
    <row r="276" customFormat="false" ht="23.3" hidden="false" customHeight="false" outlineLevel="0" collapsed="false">
      <c r="A276" s="1" t="s">
        <v>13</v>
      </c>
      <c r="B276" s="1" t="s">
        <v>172</v>
      </c>
      <c r="C276" s="1" t="str">
        <f aca="false">IF(D276="PRE","N/A",
IF(D276="SUP","N/A",
IF(D276="Single-choice",H276,
IF(D276="Single-choice w/ correct",H276,
IF(D276="Series", LEFT(H276,FIND("_",H276)-1) &amp; "_" &amp; MID(H276,FIND("_",H276,FIND("_",H276)+1)+1,999)
)))))</f>
        <v>TIKTHRT_W127</v>
      </c>
      <c r="D276" s="6" t="s">
        <v>55</v>
      </c>
      <c r="E276" s="7" t="str">
        <f aca="false">IF(D276="PRE","N/A", 
IF(D276="SUP",I276, 
IF(D276="Single-choice",I276, 
IF(D276="Single-choice w/ correct",I276, 
IF(D276="Series", LEFT(I276, FIND("    ",I276)
))))))</f>
        <v>How big of a threat do you think TikTok is to national security in the United States?</v>
      </c>
      <c r="F276" s="8" t="str">
        <f aca="false">IF(D276="PRE",I276,
IF(D276="SUP",I276,
IF(D276="Single-choice","N/A",
IF(D276="Single-choice w/ correct","N/A",
IF(D276="Series", RIGHT(I276, LEN(I276) - FIND("    ",I276)-3
))))))</f>
        <v>N/A</v>
      </c>
      <c r="G276" s="6" t="s">
        <v>56</v>
      </c>
      <c r="H276" s="10" t="s">
        <v>271</v>
      </c>
      <c r="I276" s="9" t="s">
        <v>272</v>
      </c>
      <c r="J276" s="10" t="n">
        <v>3</v>
      </c>
      <c r="K276" s="10" t="s">
        <v>275</v>
      </c>
    </row>
    <row r="277" customFormat="false" ht="23.3" hidden="false" customHeight="false" outlineLevel="0" collapsed="false">
      <c r="A277" s="1" t="s">
        <v>13</v>
      </c>
      <c r="B277" s="1" t="s">
        <v>172</v>
      </c>
      <c r="C277" s="1" t="str">
        <f aca="false">IF(D277="PRE","N/A",
IF(D277="SUP","N/A",
IF(D277="Single-choice",H277,
IF(D277="Single-choice w/ correct",H277,
IF(D277="Series", LEFT(H277,FIND("_",H277)-1) &amp; "_" &amp; MID(H277,FIND("_",H277,FIND("_",H277)+1)+1,999)
)))))</f>
        <v>TIKTHRT_W127</v>
      </c>
      <c r="D277" s="6" t="s">
        <v>55</v>
      </c>
      <c r="E277" s="7" t="str">
        <f aca="false">IF(D277="PRE","N/A", 
IF(D277="SUP",I277, 
IF(D277="Single-choice",I277, 
IF(D277="Single-choice w/ correct",I277, 
IF(D277="Series", LEFT(I277, FIND("    ",I277)
))))))</f>
        <v>How big of a threat do you think TikTok is to national security in the United States?</v>
      </c>
      <c r="F277" s="8" t="str">
        <f aca="false">IF(D277="PRE",I277,
IF(D277="SUP",I277,
IF(D277="Single-choice","N/A",
IF(D277="Single-choice w/ correct","N/A",
IF(D277="Series", RIGHT(I277, LEN(I277) - FIND("    ",I277)-3
))))))</f>
        <v>N/A</v>
      </c>
      <c r="G277" s="6" t="s">
        <v>56</v>
      </c>
      <c r="H277" s="10" t="s">
        <v>271</v>
      </c>
      <c r="I277" s="9" t="s">
        <v>272</v>
      </c>
      <c r="J277" s="10" t="n">
        <v>4</v>
      </c>
      <c r="K277" s="10" t="s">
        <v>124</v>
      </c>
    </row>
    <row r="278" customFormat="false" ht="23.3" hidden="false" customHeight="false" outlineLevel="0" collapsed="false">
      <c r="A278" s="1" t="s">
        <v>13</v>
      </c>
      <c r="B278" s="1" t="s">
        <v>172</v>
      </c>
      <c r="C278" s="1" t="str">
        <f aca="false">IF(D278="PRE","N/A",
IF(D278="SUP","N/A",
IF(D278="Single-choice",H278,
IF(D278="Single-choice w/ correct",H278,
IF(D278="Series", LEFT(H278,FIND("_",H278)-1) &amp; "_" &amp; MID(H278,FIND("_",H278,FIND("_",H278)+1)+1,999)
)))))</f>
        <v>TIKTHRT_W127</v>
      </c>
      <c r="D278" s="6" t="s">
        <v>55</v>
      </c>
      <c r="E278" s="7" t="str">
        <f aca="false">IF(D278="PRE","N/A", 
IF(D278="SUP",I278, 
IF(D278="Single-choice",I278, 
IF(D278="Single-choice w/ correct",I278, 
IF(D278="Series", LEFT(I278, FIND("    ",I278)
))))))</f>
        <v>How big of a threat do you think TikTok is to national security in the United States?</v>
      </c>
      <c r="F278" s="8" t="str">
        <f aca="false">IF(D278="PRE",I278,
IF(D278="SUP",I278,
IF(D278="Single-choice","N/A",
IF(D278="Single-choice w/ correct","N/A",
IF(D278="Series", RIGHT(I278, LEN(I278) - FIND("    ",I278)-3
))))))</f>
        <v>N/A</v>
      </c>
      <c r="G278" s="6" t="s">
        <v>56</v>
      </c>
      <c r="H278" s="10" t="s">
        <v>271</v>
      </c>
      <c r="I278" s="9" t="s">
        <v>272</v>
      </c>
      <c r="J278" s="10" t="n">
        <v>99</v>
      </c>
      <c r="K278" s="10" t="s">
        <v>64</v>
      </c>
    </row>
    <row r="279" customFormat="false" ht="15" hidden="false" customHeight="true" outlineLevel="0" collapsed="false">
      <c r="A279" s="1" t="s">
        <v>13</v>
      </c>
      <c r="B279" s="1" t="s">
        <v>172</v>
      </c>
      <c r="C279" s="1" t="str">
        <f aca="false">IF(D279="PRE","N/A",
IF(D279="SUP","N/A",
IF(D279="Single-choice",H279,
IF(D279="Single-choice w/ correct",H279,
IF(D279="Series", LEFT(H279,FIND("_",H279)-1) &amp; "_" &amp; MID(H279,FIND("_",H279,FIND("_",H279)+1)+1,999)
)))))</f>
        <v>TIKDATA_W127</v>
      </c>
      <c r="D279" s="6" t="s">
        <v>55</v>
      </c>
      <c r="E279" s="7" t="str">
        <f aca="false">IF(D279="PRE","N/A", 
IF(D279="SUP",I279, 
IF(D279="Single-choice",I279, 
IF(D279="Single-choice w/ correct",I279, 
IF(D279="Series", LEFT(I279, FIND("    ",I279)
))))))</f>
        <v>How concerned are you about how TikTok uses data it collects from its users?</v>
      </c>
      <c r="F279" s="8" t="str">
        <f aca="false">IF(D279="PRE",I279,
IF(D279="SUP",I279,
IF(D279="Single-choice","N/A",
IF(D279="Single-choice w/ correct","N/A",
IF(D279="Series", RIGHT(I279, LEN(I279) - FIND("    ",I279)-3
))))))</f>
        <v>N/A</v>
      </c>
      <c r="G279" s="6" t="s">
        <v>56</v>
      </c>
      <c r="H279" s="6" t="s">
        <v>276</v>
      </c>
      <c r="I279" s="9" t="s">
        <v>277</v>
      </c>
      <c r="J279" s="6" t="n">
        <v>1</v>
      </c>
      <c r="K279" s="6" t="s">
        <v>210</v>
      </c>
    </row>
    <row r="280" customFormat="false" ht="23.3" hidden="false" customHeight="false" outlineLevel="0" collapsed="false">
      <c r="A280" s="1" t="s">
        <v>13</v>
      </c>
      <c r="B280" s="1" t="s">
        <v>172</v>
      </c>
      <c r="C280" s="1" t="str">
        <f aca="false">IF(D280="PRE","N/A",
IF(D280="SUP","N/A",
IF(D280="Single-choice",H280,
IF(D280="Single-choice w/ correct",H280,
IF(D280="Series", LEFT(H280,FIND("_",H280)-1) &amp; "_" &amp; MID(H280,FIND("_",H280,FIND("_",H280)+1)+1,999)
)))))</f>
        <v>TIKDATA_W127</v>
      </c>
      <c r="D280" s="6" t="s">
        <v>55</v>
      </c>
      <c r="E280" s="7" t="str">
        <f aca="false">IF(D280="PRE","N/A", 
IF(D280="SUP",I280, 
IF(D280="Single-choice",I280, 
IF(D280="Single-choice w/ correct",I280, 
IF(D280="Series", LEFT(I280, FIND("    ",I280)
))))))</f>
        <v>How concerned are you about how TikTok uses data it collects from its users?</v>
      </c>
      <c r="F280" s="8" t="str">
        <f aca="false">IF(D280="PRE",I280,
IF(D280="SUP",I280,
IF(D280="Single-choice","N/A",
IF(D280="Single-choice w/ correct","N/A",
IF(D280="Series", RIGHT(I280, LEN(I280) - FIND("    ",I280)-3
))))))</f>
        <v>N/A</v>
      </c>
      <c r="G280" s="6" t="s">
        <v>56</v>
      </c>
      <c r="H280" s="10" t="s">
        <v>276</v>
      </c>
      <c r="I280" s="9" t="s">
        <v>277</v>
      </c>
      <c r="J280" s="10" t="n">
        <v>2</v>
      </c>
      <c r="K280" s="10" t="s">
        <v>211</v>
      </c>
    </row>
    <row r="281" customFormat="false" ht="23.3" hidden="false" customHeight="false" outlineLevel="0" collapsed="false">
      <c r="A281" s="1" t="s">
        <v>13</v>
      </c>
      <c r="B281" s="1" t="s">
        <v>172</v>
      </c>
      <c r="C281" s="1" t="str">
        <f aca="false">IF(D281="PRE","N/A",
IF(D281="SUP","N/A",
IF(D281="Single-choice",H281,
IF(D281="Single-choice w/ correct",H281,
IF(D281="Series", LEFT(H281,FIND("_",H281)-1) &amp; "_" &amp; MID(H281,FIND("_",H281,FIND("_",H281)+1)+1,999)
)))))</f>
        <v>TIKDATA_W127</v>
      </c>
      <c r="D281" s="6" t="s">
        <v>55</v>
      </c>
      <c r="E281" s="7" t="str">
        <f aca="false">IF(D281="PRE","N/A", 
IF(D281="SUP",I281, 
IF(D281="Single-choice",I281, 
IF(D281="Single-choice w/ correct",I281, 
IF(D281="Series", LEFT(I281, FIND("    ",I281)
))))))</f>
        <v>How concerned are you about how TikTok uses data it collects from its users?</v>
      </c>
      <c r="F281" s="8" t="str">
        <f aca="false">IF(D281="PRE",I281,
IF(D281="SUP",I281,
IF(D281="Single-choice","N/A",
IF(D281="Single-choice w/ correct","N/A",
IF(D281="Series", RIGHT(I281, LEN(I281) - FIND("    ",I281)-3
))))))</f>
        <v>N/A</v>
      </c>
      <c r="G281" s="6" t="s">
        <v>56</v>
      </c>
      <c r="H281" s="10" t="s">
        <v>276</v>
      </c>
      <c r="I281" s="9" t="s">
        <v>277</v>
      </c>
      <c r="J281" s="10" t="n">
        <v>3</v>
      </c>
      <c r="K281" s="10" t="s">
        <v>212</v>
      </c>
    </row>
    <row r="282" customFormat="false" ht="23.3" hidden="false" customHeight="false" outlineLevel="0" collapsed="false">
      <c r="A282" s="1" t="s">
        <v>13</v>
      </c>
      <c r="B282" s="1" t="s">
        <v>172</v>
      </c>
      <c r="C282" s="1" t="str">
        <f aca="false">IF(D282="PRE","N/A",
IF(D282="SUP","N/A",
IF(D282="Single-choice",H282,
IF(D282="Single-choice w/ correct",H282,
IF(D282="Series", LEFT(H282,FIND("_",H282)-1) &amp; "_" &amp; MID(H282,FIND("_",H282,FIND("_",H282)+1)+1,999)
)))))</f>
        <v>TIKDATA_W127</v>
      </c>
      <c r="D282" s="6" t="s">
        <v>55</v>
      </c>
      <c r="E282" s="7" t="str">
        <f aca="false">IF(D282="PRE","N/A", 
IF(D282="SUP",I282, 
IF(D282="Single-choice",I282, 
IF(D282="Single-choice w/ correct",I282, 
IF(D282="Series", LEFT(I282, FIND("    ",I282)
))))))</f>
        <v>How concerned are you about how TikTok uses data it collects from its users?</v>
      </c>
      <c r="F282" s="8" t="str">
        <f aca="false">IF(D282="PRE",I282,
IF(D282="SUP",I282,
IF(D282="Single-choice","N/A",
IF(D282="Single-choice w/ correct","N/A",
IF(D282="Series", RIGHT(I282, LEN(I282) - FIND("    ",I282)-3
))))))</f>
        <v>N/A</v>
      </c>
      <c r="G282" s="6" t="s">
        <v>56</v>
      </c>
      <c r="H282" s="10" t="s">
        <v>276</v>
      </c>
      <c r="I282" s="9" t="s">
        <v>277</v>
      </c>
      <c r="J282" s="10" t="n">
        <v>4</v>
      </c>
      <c r="K282" s="10" t="s">
        <v>213</v>
      </c>
    </row>
    <row r="283" customFormat="false" ht="23.3" hidden="false" customHeight="false" outlineLevel="0" collapsed="false">
      <c r="A283" s="1" t="s">
        <v>13</v>
      </c>
      <c r="B283" s="1" t="s">
        <v>172</v>
      </c>
      <c r="C283" s="1" t="str">
        <f aca="false">IF(D283="PRE","N/A",
IF(D283="SUP","N/A",
IF(D283="Single-choice",H283,
IF(D283="Single-choice w/ correct",H283,
IF(D283="Series", LEFT(H283,FIND("_",H283)-1) &amp; "_" &amp; MID(H283,FIND("_",H283,FIND("_",H283)+1)+1,999)
)))))</f>
        <v>TIKDATA_W127</v>
      </c>
      <c r="D283" s="6" t="s">
        <v>55</v>
      </c>
      <c r="E283" s="7" t="str">
        <f aca="false">IF(D283="PRE","N/A", 
IF(D283="SUP",I283, 
IF(D283="Single-choice",I283, 
IF(D283="Single-choice w/ correct",I283, 
IF(D283="Series", LEFT(I283, FIND("    ",I283)
))))))</f>
        <v>How concerned are you about how TikTok uses data it collects from its users?</v>
      </c>
      <c r="F283" s="8" t="str">
        <f aca="false">IF(D283="PRE",I283,
IF(D283="SUP",I283,
IF(D283="Single-choice","N/A",
IF(D283="Single-choice w/ correct","N/A",
IF(D283="Series", RIGHT(I283, LEN(I283) - FIND("    ",I283)-3
))))))</f>
        <v>N/A</v>
      </c>
      <c r="G283" s="6" t="s">
        <v>56</v>
      </c>
      <c r="H283" s="10" t="s">
        <v>276</v>
      </c>
      <c r="I283" s="9" t="s">
        <v>277</v>
      </c>
      <c r="J283" s="10" t="n">
        <v>99</v>
      </c>
      <c r="K283" s="10" t="s">
        <v>64</v>
      </c>
    </row>
    <row r="284" customFormat="false" ht="15" hidden="false" customHeight="true" outlineLevel="0" collapsed="false">
      <c r="A284" s="1" t="s">
        <v>13</v>
      </c>
      <c r="B284" s="1" t="s">
        <v>172</v>
      </c>
      <c r="C284" s="1" t="str">
        <f aca="false">IF(D284="PRE","N/A",
IF(D284="SUP","N/A",
IF(D284="Single-choice",H284,
IF(D284="Single-choice w/ correct",H284,
IF(D284="Series", LEFT(H284,FIND("_",H284)-1) &amp; "_" &amp; MID(H284,FIND("_",H284,FIND("_",H284)+1)+1,999)
)))))</f>
        <v>ONLTSK_W127</v>
      </c>
      <c r="D284" s="6" t="s">
        <v>78</v>
      </c>
      <c r="E284" s="7" t="str">
        <f aca="false">IF(D284="PRE","N/A", 
IF(D284="SUP",I284, 
IF(D284="Single-choice",I284, 
IF(D284="Single-choice w/ correct",I284, 
IF(D284="Series", LEFT(I284, FIND("    ",I284)
))))))</f>
        <v>Do you ever do each of the following? </v>
      </c>
      <c r="F284" s="8" t="str">
        <f aca="false">IF(D284="PRE",I284,
IF(D284="SUP",I284,
IF(D284="Single-choice","N/A",
IF(D284="Single-choice w/ correct","N/A",
IF(D284="Series", RIGHT(I284, LEN(I284) - FIND("    ",I284)-3
))))))</f>
        <v>Buy things online</v>
      </c>
      <c r="G284" s="6" t="s">
        <v>56</v>
      </c>
      <c r="H284" s="6" t="s">
        <v>278</v>
      </c>
      <c r="I284" s="9" t="s">
        <v>279</v>
      </c>
      <c r="J284" s="6" t="n">
        <v>1</v>
      </c>
      <c r="K284" s="6" t="s">
        <v>175</v>
      </c>
    </row>
    <row r="285" customFormat="false" ht="15" hidden="false" customHeight="false" outlineLevel="0" collapsed="false">
      <c r="A285" s="1" t="s">
        <v>13</v>
      </c>
      <c r="B285" s="1" t="s">
        <v>172</v>
      </c>
      <c r="C285" s="1" t="str">
        <f aca="false">IF(D285="PRE","N/A",
IF(D285="SUP","N/A",
IF(D285="Single-choice",H285,
IF(D285="Single-choice w/ correct",H285,
IF(D285="Series", LEFT(H285,FIND("_",H285)-1) &amp; "_" &amp; MID(H285,FIND("_",H285,FIND("_",H285)+1)+1,999)
)))))</f>
        <v>ONLTSK_W127</v>
      </c>
      <c r="D285" s="6" t="s">
        <v>78</v>
      </c>
      <c r="E285" s="7" t="str">
        <f aca="false">IF(D285="PRE","N/A", 
IF(D285="SUP",I285, 
IF(D285="Single-choice",I285, 
IF(D285="Single-choice w/ correct",I285, 
IF(D285="Series", LEFT(I285, FIND("    ",I285)
))))))</f>
        <v>Do you ever do each of the following? </v>
      </c>
      <c r="F285" s="8" t="str">
        <f aca="false">IF(D285="PRE",I285,
IF(D285="SUP",I285,
IF(D285="Single-choice","N/A",
IF(D285="Single-choice w/ correct","N/A",
IF(D285="Series", RIGHT(I285, LEN(I285) - FIND("    ",I285)-3
))))))</f>
        <v>Buy things online</v>
      </c>
      <c r="G285" s="6" t="s">
        <v>56</v>
      </c>
      <c r="H285" s="10" t="s">
        <v>278</v>
      </c>
      <c r="I285" s="9" t="s">
        <v>279</v>
      </c>
      <c r="J285" s="10" t="n">
        <v>2</v>
      </c>
      <c r="K285" s="10" t="s">
        <v>176</v>
      </c>
    </row>
    <row r="286" customFormat="false" ht="15" hidden="false" customHeight="false" outlineLevel="0" collapsed="false">
      <c r="A286" s="1" t="s">
        <v>13</v>
      </c>
      <c r="B286" s="1" t="s">
        <v>172</v>
      </c>
      <c r="C286" s="1" t="str">
        <f aca="false">IF(D286="PRE","N/A",
IF(D286="SUP","N/A",
IF(D286="Single-choice",H286,
IF(D286="Single-choice w/ correct",H286,
IF(D286="Series", LEFT(H286,FIND("_",H286)-1) &amp; "_" &amp; MID(H286,FIND("_",H286,FIND("_",H286)+1)+1,999)
)))))</f>
        <v>ONLTSK_W127</v>
      </c>
      <c r="D286" s="6" t="s">
        <v>78</v>
      </c>
      <c r="E286" s="7" t="str">
        <f aca="false">IF(D286="PRE","N/A", 
IF(D286="SUP",I286, 
IF(D286="Single-choice",I286, 
IF(D286="Single-choice w/ correct",I286, 
IF(D286="Series", LEFT(I286, FIND("    ",I286)
))))))</f>
        <v>Do you ever do each of the following? </v>
      </c>
      <c r="F286" s="8" t="str">
        <f aca="false">IF(D286="PRE",I286,
IF(D286="SUP",I286,
IF(D286="Single-choice","N/A",
IF(D286="Single-choice w/ correct","N/A",
IF(D286="Series", RIGHT(I286, LEN(I286) - FIND("    ",I286)-3
))))))</f>
        <v>Buy things online</v>
      </c>
      <c r="G286" s="6" t="s">
        <v>56</v>
      </c>
      <c r="H286" s="10" t="s">
        <v>278</v>
      </c>
      <c r="I286" s="9" t="s">
        <v>279</v>
      </c>
      <c r="J286" s="10" t="n">
        <v>99</v>
      </c>
      <c r="K286" s="10" t="s">
        <v>64</v>
      </c>
    </row>
    <row r="287" customFormat="false" ht="15" hidden="false" customHeight="true" outlineLevel="0" collapsed="false">
      <c r="A287" s="1" t="s">
        <v>13</v>
      </c>
      <c r="B287" s="1" t="s">
        <v>172</v>
      </c>
      <c r="C287" s="1" t="str">
        <f aca="false">IF(D287="PRE","N/A",
IF(D287="SUP","N/A",
IF(D287="Single-choice",H287,
IF(D287="Single-choice w/ correct",H287,
IF(D287="Series", LEFT(H287,FIND("_",H287)-1) &amp; "_" &amp; MID(H287,FIND("_",H287,FIND("_",H287)+1)+1,999)
)))))</f>
        <v>ONLTSK_W127</v>
      </c>
      <c r="D287" s="6" t="s">
        <v>78</v>
      </c>
      <c r="E287" s="7" t="str">
        <f aca="false">IF(D287="PRE","N/A", 
IF(D287="SUP",I287, 
IF(D287="Single-choice",I287, 
IF(D287="Single-choice w/ correct",I287, 
IF(D287="Series", LEFT(I287, FIND("    ",I287)
))))))</f>
        <v>Do you ever do each of the following? </v>
      </c>
      <c r="F287" s="8" t="str">
        <f aca="false">IF(D287="PRE",I287,
IF(D287="SUP",I287,
IF(D287="Single-choice","N/A",
IF(D287="Single-choice w/ correct","N/A",
IF(D287="Series", RIGHT(I287, LEN(I287) - FIND("    ",I287)-3
))))))</f>
        <v>Use online banking sites or apps</v>
      </c>
      <c r="G287" s="6" t="s">
        <v>56</v>
      </c>
      <c r="H287" s="6" t="s">
        <v>280</v>
      </c>
      <c r="I287" s="9" t="s">
        <v>281</v>
      </c>
      <c r="J287" s="6" t="n">
        <v>1</v>
      </c>
      <c r="K287" s="6" t="s">
        <v>175</v>
      </c>
    </row>
    <row r="288" customFormat="false" ht="15" hidden="false" customHeight="false" outlineLevel="0" collapsed="false">
      <c r="A288" s="1" t="s">
        <v>13</v>
      </c>
      <c r="B288" s="1" t="s">
        <v>172</v>
      </c>
      <c r="C288" s="1" t="str">
        <f aca="false">IF(D288="PRE","N/A",
IF(D288="SUP","N/A",
IF(D288="Single-choice",H288,
IF(D288="Single-choice w/ correct",H288,
IF(D288="Series", LEFT(H288,FIND("_",H288)-1) &amp; "_" &amp; MID(H288,FIND("_",H288,FIND("_",H288)+1)+1,999)
)))))</f>
        <v>ONLTSK_W127</v>
      </c>
      <c r="D288" s="6" t="s">
        <v>78</v>
      </c>
      <c r="E288" s="7" t="str">
        <f aca="false">IF(D288="PRE","N/A", 
IF(D288="SUP",I288, 
IF(D288="Single-choice",I288, 
IF(D288="Single-choice w/ correct",I288, 
IF(D288="Series", LEFT(I288, FIND("    ",I288)
))))))</f>
        <v>Do you ever do each of the following? </v>
      </c>
      <c r="F288" s="8" t="str">
        <f aca="false">IF(D288="PRE",I288,
IF(D288="SUP",I288,
IF(D288="Single-choice","N/A",
IF(D288="Single-choice w/ correct","N/A",
IF(D288="Series", RIGHT(I288, LEN(I288) - FIND("    ",I288)-3
))))))</f>
        <v>Use online banking sites or apps</v>
      </c>
      <c r="G288" s="6" t="s">
        <v>56</v>
      </c>
      <c r="H288" s="10" t="s">
        <v>280</v>
      </c>
      <c r="I288" s="9" t="s">
        <v>281</v>
      </c>
      <c r="J288" s="10" t="n">
        <v>2</v>
      </c>
      <c r="K288" s="10" t="s">
        <v>176</v>
      </c>
    </row>
    <row r="289" customFormat="false" ht="15" hidden="false" customHeight="false" outlineLevel="0" collapsed="false">
      <c r="A289" s="1" t="s">
        <v>13</v>
      </c>
      <c r="B289" s="1" t="s">
        <v>172</v>
      </c>
      <c r="C289" s="1" t="str">
        <f aca="false">IF(D289="PRE","N/A",
IF(D289="SUP","N/A",
IF(D289="Single-choice",H289,
IF(D289="Single-choice w/ correct",H289,
IF(D289="Series", LEFT(H289,FIND("_",H289)-1) &amp; "_" &amp; MID(H289,FIND("_",H289,FIND("_",H289)+1)+1,999)
)))))</f>
        <v>ONLTSK_W127</v>
      </c>
      <c r="D289" s="6" t="s">
        <v>78</v>
      </c>
      <c r="E289" s="7" t="str">
        <f aca="false">IF(D289="PRE","N/A", 
IF(D289="SUP",I289, 
IF(D289="Single-choice",I289, 
IF(D289="Single-choice w/ correct",I289, 
IF(D289="Series", LEFT(I289, FIND("    ",I289)
))))))</f>
        <v>Do you ever do each of the following? </v>
      </c>
      <c r="F289" s="8" t="str">
        <f aca="false">IF(D289="PRE",I289,
IF(D289="SUP",I289,
IF(D289="Single-choice","N/A",
IF(D289="Single-choice w/ correct","N/A",
IF(D289="Series", RIGHT(I289, LEN(I289) - FIND("    ",I289)-3
))))))</f>
        <v>Use online banking sites or apps</v>
      </c>
      <c r="G289" s="6" t="s">
        <v>56</v>
      </c>
      <c r="H289" s="10" t="s">
        <v>280</v>
      </c>
      <c r="I289" s="9" t="s">
        <v>281</v>
      </c>
      <c r="J289" s="10" t="n">
        <v>99</v>
      </c>
      <c r="K289" s="10" t="s">
        <v>64</v>
      </c>
    </row>
    <row r="290" customFormat="false" ht="15" hidden="false" customHeight="true" outlineLevel="0" collapsed="false">
      <c r="A290" s="1" t="s">
        <v>13</v>
      </c>
      <c r="B290" s="1" t="s">
        <v>172</v>
      </c>
      <c r="C290" s="1" t="str">
        <f aca="false">IF(D290="PRE","N/A",
IF(D290="SUP","N/A",
IF(D290="Single-choice",H290,
IF(D290="Single-choice w/ correct",H290,
IF(D290="Series", LEFT(H290,FIND("_",H290)-1) &amp; "_" &amp; MID(H290,FIND("_",H290,FIND("_",H290)+1)+1,999)
)))))</f>
        <v>PUBWIFI_W127</v>
      </c>
      <c r="D290" s="6" t="s">
        <v>78</v>
      </c>
      <c r="E290" s="7" t="str">
        <f aca="false">IF(D290="PRE","N/A", 
IF(D290="SUP",I290, 
IF(D290="Single-choice",I290, 
IF(D290="Single-choice w/ correct",I290, 
IF(D290="Series", LEFT(I290, FIND("    ",I290)
))))))</f>
        <v>Do you ever use public WiFi in places such as cafes, libraries, or stores to do each of the following? </v>
      </c>
      <c r="F290" s="8" t="str">
        <f aca="false">IF(D290="PRE",I290,
IF(D290="SUP",I290,
IF(D290="Single-choice","N/A",
IF(D290="Single-choice w/ correct","N/A",
IF(D290="Series", RIGHT(I290, LEN(I290) - FIND("    ",I290)-3
))))))</f>
        <v>Buy things online</v>
      </c>
      <c r="G290" s="6" t="s">
        <v>282</v>
      </c>
      <c r="H290" s="6" t="s">
        <v>283</v>
      </c>
      <c r="I290" s="9" t="s">
        <v>284</v>
      </c>
      <c r="J290" s="6" t="n">
        <v>1</v>
      </c>
      <c r="K290" s="6" t="s">
        <v>285</v>
      </c>
    </row>
    <row r="291" customFormat="false" ht="23.3" hidden="false" customHeight="false" outlineLevel="0" collapsed="false">
      <c r="A291" s="1" t="s">
        <v>13</v>
      </c>
      <c r="B291" s="1" t="s">
        <v>172</v>
      </c>
      <c r="C291" s="1" t="str">
        <f aca="false">IF(D291="PRE","N/A",
IF(D291="SUP","N/A",
IF(D291="Single-choice",H291,
IF(D291="Single-choice w/ correct",H291,
IF(D291="Series", LEFT(H291,FIND("_",H291)-1) &amp; "_" &amp; MID(H291,FIND("_",H291,FIND("_",H291)+1)+1,999)
)))))</f>
        <v>PUBWIFI_W127</v>
      </c>
      <c r="D291" s="6" t="s">
        <v>78</v>
      </c>
      <c r="E291" s="7" t="str">
        <f aca="false">IF(D291="PRE","N/A", 
IF(D291="SUP",I291, 
IF(D291="Single-choice",I291, 
IF(D291="Single-choice w/ correct",I291, 
IF(D291="Series", LEFT(I291, FIND("    ",I291)
))))))</f>
        <v>Do you ever use public WiFi in places such as cafes, libraries, or stores to do each of the following? </v>
      </c>
      <c r="F291" s="8" t="str">
        <f aca="false">IF(D291="PRE",I291,
IF(D291="SUP",I291,
IF(D291="Single-choice","N/A",
IF(D291="Single-choice w/ correct","N/A",
IF(D291="Series", RIGHT(I291, LEN(I291) - FIND("    ",I291)-3
))))))</f>
        <v>Buy things online</v>
      </c>
      <c r="G291" s="10" t="s">
        <v>282</v>
      </c>
      <c r="H291" s="10" t="s">
        <v>283</v>
      </c>
      <c r="I291" s="9" t="s">
        <v>284</v>
      </c>
      <c r="J291" s="10" t="n">
        <v>2</v>
      </c>
      <c r="K291" s="10" t="s">
        <v>286</v>
      </c>
    </row>
    <row r="292" customFormat="false" ht="23.3" hidden="false" customHeight="false" outlineLevel="0" collapsed="false">
      <c r="A292" s="1" t="s">
        <v>13</v>
      </c>
      <c r="B292" s="1" t="s">
        <v>172</v>
      </c>
      <c r="C292" s="1" t="str">
        <f aca="false">IF(D292="PRE","N/A",
IF(D292="SUP","N/A",
IF(D292="Single-choice",H292,
IF(D292="Single-choice w/ correct",H292,
IF(D292="Series", LEFT(H292,FIND("_",H292)-1) &amp; "_" &amp; MID(H292,FIND("_",H292,FIND("_",H292)+1)+1,999)
)))))</f>
        <v>PUBWIFI_W127</v>
      </c>
      <c r="D292" s="6" t="s">
        <v>78</v>
      </c>
      <c r="E292" s="7" t="str">
        <f aca="false">IF(D292="PRE","N/A", 
IF(D292="SUP",I292, 
IF(D292="Single-choice",I292, 
IF(D292="Single-choice w/ correct",I292, 
IF(D292="Series", LEFT(I292, FIND("    ",I292)
))))))</f>
        <v>Do you ever use public WiFi in places such as cafes, libraries, or stores to do each of the following? </v>
      </c>
      <c r="F292" s="8" t="str">
        <f aca="false">IF(D292="PRE",I292,
IF(D292="SUP",I292,
IF(D292="Single-choice","N/A",
IF(D292="Single-choice w/ correct","N/A",
IF(D292="Series", RIGHT(I292, LEN(I292) - FIND("    ",I292)-3
))))))</f>
        <v>Buy things online</v>
      </c>
      <c r="G292" s="10" t="s">
        <v>282</v>
      </c>
      <c r="H292" s="10" t="s">
        <v>283</v>
      </c>
      <c r="I292" s="9" t="s">
        <v>284</v>
      </c>
      <c r="J292" s="10" t="n">
        <v>99</v>
      </c>
      <c r="K292" s="10" t="s">
        <v>64</v>
      </c>
    </row>
    <row r="293" customFormat="false" ht="15" hidden="false" customHeight="true" outlineLevel="0" collapsed="false">
      <c r="A293" s="1" t="s">
        <v>13</v>
      </c>
      <c r="B293" s="1" t="s">
        <v>172</v>
      </c>
      <c r="C293" s="1" t="str">
        <f aca="false">IF(D293="PRE","N/A",
IF(D293="SUP","N/A",
IF(D293="Single-choice",H293,
IF(D293="Single-choice w/ correct",H293,
IF(D293="Series", LEFT(H293,FIND("_",H293)-1) &amp; "_" &amp; MID(H293,FIND("_",H293,FIND("_",H293)+1)+1,999)
)))))</f>
        <v>PUBWIFI_W127</v>
      </c>
      <c r="D293" s="6" t="s">
        <v>78</v>
      </c>
      <c r="E293" s="7" t="str">
        <f aca="false">IF(D293="PRE","N/A", 
IF(D293="SUP",I293, 
IF(D293="Single-choice",I293, 
IF(D293="Single-choice w/ correct",I293, 
IF(D293="Series", LEFT(I293, FIND("    ",I293)
))))))</f>
        <v>Do you ever use public WiFi in places such as cafes, libraries, or stores to do each of the following? </v>
      </c>
      <c r="F293" s="8" t="str">
        <f aca="false">IF(D293="PRE",I293,
IF(D293="SUP",I293,
IF(D293="Single-choice","N/A",
IF(D293="Single-choice w/ correct","N/A",
IF(D293="Series", RIGHT(I293, LEN(I293) - FIND("    ",I293)-3
))))))</f>
        <v>Use online banking sites or apps</v>
      </c>
      <c r="G293" s="6" t="s">
        <v>287</v>
      </c>
      <c r="H293" s="6" t="s">
        <v>288</v>
      </c>
      <c r="I293" s="9" t="s">
        <v>289</v>
      </c>
      <c r="J293" s="6" t="n">
        <v>1</v>
      </c>
      <c r="K293" s="6" t="s">
        <v>285</v>
      </c>
    </row>
    <row r="294" customFormat="false" ht="23.3" hidden="false" customHeight="false" outlineLevel="0" collapsed="false">
      <c r="A294" s="1" t="s">
        <v>13</v>
      </c>
      <c r="B294" s="1" t="s">
        <v>172</v>
      </c>
      <c r="C294" s="1" t="str">
        <f aca="false">IF(D294="PRE","N/A",
IF(D294="SUP","N/A",
IF(D294="Single-choice",H294,
IF(D294="Single-choice w/ correct",H294,
IF(D294="Series", LEFT(H294,FIND("_",H294)-1) &amp; "_" &amp; MID(H294,FIND("_",H294,FIND("_",H294)+1)+1,999)
)))))</f>
        <v>PUBWIFI_W127</v>
      </c>
      <c r="D294" s="6" t="s">
        <v>78</v>
      </c>
      <c r="E294" s="7" t="str">
        <f aca="false">IF(D294="PRE","N/A", 
IF(D294="SUP",I294, 
IF(D294="Single-choice",I294, 
IF(D294="Single-choice w/ correct",I294, 
IF(D294="Series", LEFT(I294, FIND("    ",I294)
))))))</f>
        <v>Do you ever use public WiFi in places such as cafes, libraries, or stores to do each of the following? </v>
      </c>
      <c r="F294" s="8" t="str">
        <f aca="false">IF(D294="PRE",I294,
IF(D294="SUP",I294,
IF(D294="Single-choice","N/A",
IF(D294="Single-choice w/ correct","N/A",
IF(D294="Series", RIGHT(I294, LEN(I294) - FIND("    ",I294)-3
))))))</f>
        <v>Use online banking sites or apps</v>
      </c>
      <c r="G294" s="6" t="s">
        <v>287</v>
      </c>
      <c r="H294" s="10" t="s">
        <v>288</v>
      </c>
      <c r="I294" s="9" t="s">
        <v>289</v>
      </c>
      <c r="J294" s="10" t="n">
        <v>2</v>
      </c>
      <c r="K294" s="10" t="s">
        <v>286</v>
      </c>
    </row>
    <row r="295" customFormat="false" ht="23.3" hidden="false" customHeight="false" outlineLevel="0" collapsed="false">
      <c r="A295" s="1" t="s">
        <v>13</v>
      </c>
      <c r="B295" s="1" t="s">
        <v>172</v>
      </c>
      <c r="C295" s="1" t="str">
        <f aca="false">IF(D295="PRE","N/A",
IF(D295="SUP","N/A",
IF(D295="Single-choice",H295,
IF(D295="Single-choice w/ correct",H295,
IF(D295="Series", LEFT(H295,FIND("_",H295)-1) &amp; "_" &amp; MID(H295,FIND("_",H295,FIND("_",H295)+1)+1,999)
)))))</f>
        <v>PUBWIFI_W127</v>
      </c>
      <c r="D295" s="6" t="s">
        <v>78</v>
      </c>
      <c r="E295" s="7" t="str">
        <f aca="false">IF(D295="PRE","N/A", 
IF(D295="SUP",I295, 
IF(D295="Single-choice",I295, 
IF(D295="Single-choice w/ correct",I295, 
IF(D295="Series", LEFT(I295, FIND("    ",I295)
))))))</f>
        <v>Do you ever use public WiFi in places such as cafes, libraries, or stores to do each of the following? </v>
      </c>
      <c r="F295" s="8" t="str">
        <f aca="false">IF(D295="PRE",I295,
IF(D295="SUP",I295,
IF(D295="Single-choice","N/A",
IF(D295="Single-choice w/ correct","N/A",
IF(D295="Series", RIGHT(I295, LEN(I295) - FIND("    ",I295)-3
))))))</f>
        <v>Use online banking sites or apps</v>
      </c>
      <c r="G295" s="6" t="s">
        <v>287</v>
      </c>
      <c r="H295" s="10" t="s">
        <v>288</v>
      </c>
      <c r="I295" s="9" t="s">
        <v>289</v>
      </c>
      <c r="J295" s="10" t="n">
        <v>99</v>
      </c>
      <c r="K295" s="10" t="s">
        <v>64</v>
      </c>
    </row>
    <row r="296" customFormat="false" ht="15" hidden="false" customHeight="true" outlineLevel="0" collapsed="false">
      <c r="A296" s="1" t="s">
        <v>13</v>
      </c>
      <c r="B296" s="1" t="s">
        <v>172</v>
      </c>
      <c r="C296" s="1" t="str">
        <f aca="false">IF(D296="PRE","N/A",
IF(D296="SUP","N/A",
IF(D296="Single-choice",H296,
IF(D296="Single-choice w/ correct",H296,
IF(D296="Series", LEFT(H296,FIND("_",H296)-1) &amp; "_" &amp; MID(H296,FIND("_",H296,FIND("_",H296)+1)+1,999)
)))))</f>
        <v>DIGHABT1_W127</v>
      </c>
      <c r="D296" s="6" t="s">
        <v>55</v>
      </c>
      <c r="E296" s="7" t="str">
        <f aca="false">IF(D296="PRE","N/A", 
IF(D296="SUP",I296, 
IF(D296="Single-choice",I296, 
IF(D296="Single-choice w/ correct",I296, 
IF(D296="Series", LEFT(I296, FIND("    ",I296)
))))))</f>
        <v>Have you ever stopped using a digital device, website or app because you were worried about how your personal information was being used?</v>
      </c>
      <c r="F296" s="8" t="str">
        <f aca="false">IF(D296="PRE",I296,
IF(D296="SUP",I296,
IF(D296="Single-choice","N/A",
IF(D296="Single-choice w/ correct","N/A",
IF(D296="Series", RIGHT(I296, LEN(I296) - FIND("    ",I296)-3
))))))</f>
        <v>N/A</v>
      </c>
      <c r="G296" s="6" t="s">
        <v>73</v>
      </c>
      <c r="H296" s="6" t="s">
        <v>290</v>
      </c>
      <c r="I296" s="9" t="s">
        <v>291</v>
      </c>
      <c r="J296" s="6" t="n">
        <v>1</v>
      </c>
      <c r="K296" s="6" t="s">
        <v>292</v>
      </c>
    </row>
    <row r="297" customFormat="false" ht="23.3" hidden="false" customHeight="false" outlineLevel="0" collapsed="false">
      <c r="A297" s="1" t="s">
        <v>13</v>
      </c>
      <c r="B297" s="1" t="s">
        <v>172</v>
      </c>
      <c r="C297" s="1" t="str">
        <f aca="false">IF(D297="PRE","N/A",
IF(D297="SUP","N/A",
IF(D297="Single-choice",H297,
IF(D297="Single-choice w/ correct",H297,
IF(D297="Series", LEFT(H297,FIND("_",H297)-1) &amp; "_" &amp; MID(H297,FIND("_",H297,FIND("_",H297)+1)+1,999)
)))))</f>
        <v>DIGHABT1_W127</v>
      </c>
      <c r="D297" s="6" t="s">
        <v>55</v>
      </c>
      <c r="E297" s="7" t="str">
        <f aca="false">IF(D297="PRE","N/A", 
IF(D297="SUP",I297, 
IF(D297="Single-choice",I297, 
IF(D297="Single-choice w/ correct",I297, 
IF(D297="Series", LEFT(I297, FIND("    ",I297)
))))))</f>
        <v>Have you ever stopped using a digital device, website or app because you were worried about how your personal information was being used?</v>
      </c>
      <c r="F297" s="8" t="str">
        <f aca="false">IF(D297="PRE",I297,
IF(D297="SUP",I297,
IF(D297="Single-choice","N/A",
IF(D297="Single-choice w/ correct","N/A",
IF(D297="Series", RIGHT(I297, LEN(I297) - FIND("    ",I297)-3
))))))</f>
        <v>N/A</v>
      </c>
      <c r="G297" s="6" t="s">
        <v>73</v>
      </c>
      <c r="H297" s="10" t="s">
        <v>290</v>
      </c>
      <c r="I297" s="9" t="s">
        <v>291</v>
      </c>
      <c r="J297" s="10" t="n">
        <v>2</v>
      </c>
      <c r="K297" s="10" t="s">
        <v>293</v>
      </c>
    </row>
    <row r="298" customFormat="false" ht="23.3" hidden="false" customHeight="false" outlineLevel="0" collapsed="false">
      <c r="A298" s="1" t="s">
        <v>13</v>
      </c>
      <c r="B298" s="1" t="s">
        <v>172</v>
      </c>
      <c r="C298" s="1" t="str">
        <f aca="false">IF(D298="PRE","N/A",
IF(D298="SUP","N/A",
IF(D298="Single-choice",H298,
IF(D298="Single-choice w/ correct",H298,
IF(D298="Series", LEFT(H298,FIND("_",H298)-1) &amp; "_" &amp; MID(H298,FIND("_",H298,FIND("_",H298)+1)+1,999)
)))))</f>
        <v>DIGHABT1_W127</v>
      </c>
      <c r="D298" s="6" t="s">
        <v>55</v>
      </c>
      <c r="E298" s="7" t="str">
        <f aca="false">IF(D298="PRE","N/A", 
IF(D298="SUP",I298, 
IF(D298="Single-choice",I298, 
IF(D298="Single-choice w/ correct",I298, 
IF(D298="Series", LEFT(I298, FIND("    ",I298)
))))))</f>
        <v>Have you ever stopped using a digital device, website or app because you were worried about how your personal information was being used?</v>
      </c>
      <c r="F298" s="8" t="str">
        <f aca="false">IF(D298="PRE",I298,
IF(D298="SUP",I298,
IF(D298="Single-choice","N/A",
IF(D298="Single-choice w/ correct","N/A",
IF(D298="Series", RIGHT(I298, LEN(I298) - FIND("    ",I298)-3
))))))</f>
        <v>N/A</v>
      </c>
      <c r="G298" s="6" t="s">
        <v>73</v>
      </c>
      <c r="H298" s="10" t="s">
        <v>290</v>
      </c>
      <c r="I298" s="9" t="s">
        <v>291</v>
      </c>
      <c r="J298" s="10" t="n">
        <v>99</v>
      </c>
      <c r="K298" s="10" t="s">
        <v>64</v>
      </c>
    </row>
    <row r="299" customFormat="false" ht="15" hidden="false" customHeight="true" outlineLevel="0" collapsed="false">
      <c r="A299" s="1" t="s">
        <v>13</v>
      </c>
      <c r="B299" s="1" t="s">
        <v>172</v>
      </c>
      <c r="C299" s="1" t="str">
        <f aca="false">IF(D299="PRE","N/A",
IF(D299="SUP","N/A",
IF(D299="Single-choice",H299,
IF(D299="Single-choice w/ correct",H299,
IF(D299="Series", LEFT(H299,FIND("_",H299)-1) &amp; "_" &amp; MID(H299,FIND("_",H299,FIND("_",H299)+1)+1,999)
)))))</f>
        <v>DIGHABT2_W127</v>
      </c>
      <c r="D299" s="6" t="s">
        <v>78</v>
      </c>
      <c r="E299" s="7" t="str">
        <f aca="false">IF(D299="PRE","N/A", 
IF(D299="SUP",I299, 
IF(D299="Single-choice",I299, 
IF(D299="Single-choice w/ correct",I299, 
IF(D299="Series", LEFT(I299, FIND("    ",I299)
))))))</f>
        <v>Do you ever do any of the following to manage your privacy online? </v>
      </c>
      <c r="F299" s="8" t="str">
        <f aca="false">IF(D299="PRE",I299,
IF(D299="SUP",I299,
IF(D299="Single-choice","N/A",
IF(D299="Single-choice w/ correct","N/A",
IF(D299="Series", RIGHT(I299, LEN(I299) - FIND("    ",I299)-3
))))))</f>
        <v>Decline or turn off cookies or other tracking on websites</v>
      </c>
      <c r="G299" s="6" t="s">
        <v>73</v>
      </c>
      <c r="H299" s="6" t="s">
        <v>294</v>
      </c>
      <c r="I299" s="9" t="s">
        <v>295</v>
      </c>
      <c r="J299" s="6" t="n">
        <v>1</v>
      </c>
      <c r="K299" s="6" t="s">
        <v>175</v>
      </c>
    </row>
    <row r="300" customFormat="false" ht="23.3" hidden="false" customHeight="false" outlineLevel="0" collapsed="false">
      <c r="A300" s="1" t="s">
        <v>13</v>
      </c>
      <c r="B300" s="1" t="s">
        <v>172</v>
      </c>
      <c r="C300" s="1" t="str">
        <f aca="false">IF(D300="PRE","N/A",
IF(D300="SUP","N/A",
IF(D300="Single-choice",H300,
IF(D300="Single-choice w/ correct",H300,
IF(D300="Series", LEFT(H300,FIND("_",H300)-1) &amp; "_" &amp; MID(H300,FIND("_",H300,FIND("_",H300)+1)+1,999)
)))))</f>
        <v>DIGHABT2_W127</v>
      </c>
      <c r="D300" s="6" t="s">
        <v>78</v>
      </c>
      <c r="E300" s="7" t="str">
        <f aca="false">IF(D300="PRE","N/A", 
IF(D300="SUP",I300, 
IF(D300="Single-choice",I300, 
IF(D300="Single-choice w/ correct",I300, 
IF(D300="Series", LEFT(I300, FIND("    ",I300)
))))))</f>
        <v>Do you ever do any of the following to manage your privacy online? </v>
      </c>
      <c r="F300" s="8" t="str">
        <f aca="false">IF(D300="PRE",I300,
IF(D300="SUP",I300,
IF(D300="Single-choice","N/A",
IF(D300="Single-choice w/ correct","N/A",
IF(D300="Series", RIGHT(I300, LEN(I300) - FIND("    ",I300)-3
))))))</f>
        <v>Decline or turn off cookies or other tracking on websites</v>
      </c>
      <c r="G300" s="6" t="s">
        <v>73</v>
      </c>
      <c r="H300" s="10" t="s">
        <v>294</v>
      </c>
      <c r="I300" s="9" t="s">
        <v>295</v>
      </c>
      <c r="J300" s="10" t="n">
        <v>2</v>
      </c>
      <c r="K300" s="10" t="s">
        <v>176</v>
      </c>
    </row>
    <row r="301" customFormat="false" ht="23.3" hidden="false" customHeight="false" outlineLevel="0" collapsed="false">
      <c r="A301" s="1" t="s">
        <v>13</v>
      </c>
      <c r="B301" s="1" t="s">
        <v>172</v>
      </c>
      <c r="C301" s="1" t="str">
        <f aca="false">IF(D301="PRE","N/A",
IF(D301="SUP","N/A",
IF(D301="Single-choice",H301,
IF(D301="Single-choice w/ correct",H301,
IF(D301="Series", LEFT(H301,FIND("_",H301)-1) &amp; "_" &amp; MID(H301,FIND("_",H301,FIND("_",H301)+1)+1,999)
)))))</f>
        <v>DIGHABT2_W127</v>
      </c>
      <c r="D301" s="6" t="s">
        <v>78</v>
      </c>
      <c r="E301" s="7" t="str">
        <f aca="false">IF(D301="PRE","N/A", 
IF(D301="SUP",I301, 
IF(D301="Single-choice",I301, 
IF(D301="Single-choice w/ correct",I301, 
IF(D301="Series", LEFT(I301, FIND("    ",I301)
))))))</f>
        <v>Do you ever do any of the following to manage your privacy online? </v>
      </c>
      <c r="F301" s="8" t="str">
        <f aca="false">IF(D301="PRE",I301,
IF(D301="SUP",I301,
IF(D301="Single-choice","N/A",
IF(D301="Single-choice w/ correct","N/A",
IF(D301="Series", RIGHT(I301, LEN(I301) - FIND("    ",I301)-3
))))))</f>
        <v>Decline or turn off cookies or other tracking on websites</v>
      </c>
      <c r="G301" s="6" t="s">
        <v>73</v>
      </c>
      <c r="H301" s="10" t="s">
        <v>294</v>
      </c>
      <c r="I301" s="9" t="s">
        <v>295</v>
      </c>
      <c r="J301" s="10" t="n">
        <v>99</v>
      </c>
      <c r="K301" s="10" t="s">
        <v>64</v>
      </c>
    </row>
    <row r="302" customFormat="false" ht="15" hidden="false" customHeight="true" outlineLevel="0" collapsed="false">
      <c r="A302" s="1" t="s">
        <v>13</v>
      </c>
      <c r="B302" s="1" t="s">
        <v>172</v>
      </c>
      <c r="C302" s="1" t="str">
        <f aca="false">IF(D302="PRE","N/A",
IF(D302="SUP","N/A",
IF(D302="Single-choice",H302,
IF(D302="Single-choice w/ correct",H302,
IF(D302="Series", LEFT(H302,FIND("_",H302)-1) &amp; "_" &amp; MID(H302,FIND("_",H302,FIND("_",H302)+1)+1,999)
)))))</f>
        <v>DIGHABT2_W127</v>
      </c>
      <c r="D302" s="6" t="s">
        <v>78</v>
      </c>
      <c r="E302" s="7" t="str">
        <f aca="false">IF(D302="PRE","N/A", 
IF(D302="SUP",I302, 
IF(D302="Single-choice",I302, 
IF(D302="Single-choice w/ correct",I302, 
IF(D302="Series", LEFT(I302, FIND("    ",I302)
))))))</f>
        <v>Do you ever do any of the following to manage your privacy online? </v>
      </c>
      <c r="F302" s="8" t="str">
        <f aca="false">IF(D302="PRE",I302,
IF(D302="SUP",I302,
IF(D302="Single-choice","N/A",
IF(D302="Single-choice w/ correct","N/A",
IF(D302="Series", RIGHT(I302, LEN(I302) - FIND("    ",I302)-3
))))))</f>
        <v>Use messaging apps or services that encrypt your private communication with others</v>
      </c>
      <c r="G302" s="6" t="s">
        <v>73</v>
      </c>
      <c r="H302" s="6" t="s">
        <v>296</v>
      </c>
      <c r="I302" s="9" t="s">
        <v>297</v>
      </c>
      <c r="J302" s="6" t="n">
        <v>1</v>
      </c>
      <c r="K302" s="6" t="s">
        <v>175</v>
      </c>
    </row>
    <row r="303" customFormat="false" ht="34.2" hidden="false" customHeight="false" outlineLevel="0" collapsed="false">
      <c r="A303" s="1" t="s">
        <v>13</v>
      </c>
      <c r="B303" s="1" t="s">
        <v>172</v>
      </c>
      <c r="C303" s="1" t="str">
        <f aca="false">IF(D303="PRE","N/A",
IF(D303="SUP","N/A",
IF(D303="Single-choice",H303,
IF(D303="Single-choice w/ correct",H303,
IF(D303="Series", LEFT(H303,FIND("_",H303)-1) &amp; "_" &amp; MID(H303,FIND("_",H303,FIND("_",H303)+1)+1,999)
)))))</f>
        <v>DIGHABT2_W127</v>
      </c>
      <c r="D303" s="6" t="s">
        <v>78</v>
      </c>
      <c r="E303" s="7" t="str">
        <f aca="false">IF(D303="PRE","N/A", 
IF(D303="SUP",I303, 
IF(D303="Single-choice",I303, 
IF(D303="Single-choice w/ correct",I303, 
IF(D303="Series", LEFT(I303, FIND("    ",I303)
))))))</f>
        <v>Do you ever do any of the following to manage your privacy online? </v>
      </c>
      <c r="F303" s="8" t="str">
        <f aca="false">IF(D303="PRE",I303,
IF(D303="SUP",I303,
IF(D303="Single-choice","N/A",
IF(D303="Single-choice w/ correct","N/A",
IF(D303="Series", RIGHT(I303, LEN(I303) - FIND("    ",I303)-3
))))))</f>
        <v>Use messaging apps or services that encrypt your private communication with others</v>
      </c>
      <c r="G303" s="6" t="s">
        <v>73</v>
      </c>
      <c r="H303" s="10" t="s">
        <v>296</v>
      </c>
      <c r="I303" s="9" t="s">
        <v>297</v>
      </c>
      <c r="J303" s="10" t="n">
        <v>2</v>
      </c>
      <c r="K303" s="10" t="s">
        <v>176</v>
      </c>
    </row>
    <row r="304" customFormat="false" ht="34.2" hidden="false" customHeight="false" outlineLevel="0" collapsed="false">
      <c r="A304" s="1" t="s">
        <v>13</v>
      </c>
      <c r="B304" s="1" t="s">
        <v>172</v>
      </c>
      <c r="C304" s="1" t="str">
        <f aca="false">IF(D304="PRE","N/A",
IF(D304="SUP","N/A",
IF(D304="Single-choice",H304,
IF(D304="Single-choice w/ correct",H304,
IF(D304="Series", LEFT(H304,FIND("_",H304)-1) &amp; "_" &amp; MID(H304,FIND("_",H304,FIND("_",H304)+1)+1,999)
)))))</f>
        <v>DIGHABT2_W127</v>
      </c>
      <c r="D304" s="6" t="s">
        <v>78</v>
      </c>
      <c r="E304" s="7" t="str">
        <f aca="false">IF(D304="PRE","N/A", 
IF(D304="SUP",I304, 
IF(D304="Single-choice",I304, 
IF(D304="Single-choice w/ correct",I304, 
IF(D304="Series", LEFT(I304, FIND("    ",I304)
))))))</f>
        <v>Do you ever do any of the following to manage your privacy online? </v>
      </c>
      <c r="F304" s="8" t="str">
        <f aca="false">IF(D304="PRE",I304,
IF(D304="SUP",I304,
IF(D304="Single-choice","N/A",
IF(D304="Single-choice w/ correct","N/A",
IF(D304="Series", RIGHT(I304, LEN(I304) - FIND("    ",I304)-3
))))))</f>
        <v>Use messaging apps or services that encrypt your private communication with others</v>
      </c>
      <c r="G304" s="6" t="s">
        <v>73</v>
      </c>
      <c r="H304" s="10" t="s">
        <v>296</v>
      </c>
      <c r="I304" s="9" t="s">
        <v>297</v>
      </c>
      <c r="J304" s="10" t="n">
        <v>99</v>
      </c>
      <c r="K304" s="10" t="s">
        <v>64</v>
      </c>
    </row>
    <row r="305" customFormat="false" ht="15" hidden="false" customHeight="true" outlineLevel="0" collapsed="false">
      <c r="A305" s="1" t="s">
        <v>13</v>
      </c>
      <c r="B305" s="1" t="s">
        <v>172</v>
      </c>
      <c r="C305" s="1" t="str">
        <f aca="false">IF(D305="PRE","N/A",
IF(D305="SUP","N/A",
IF(D305="Single-choice",H305,
IF(D305="Single-choice w/ correct",H305,
IF(D305="Series", LEFT(H305,FIND("_",H305)-1) &amp; "_" &amp; MID(H305,FIND("_",H305,FIND("_",H305)+1)+1,999)
)))))</f>
        <v>DIGHABT2_W127</v>
      </c>
      <c r="D305" s="6" t="s">
        <v>78</v>
      </c>
      <c r="E305" s="7" t="str">
        <f aca="false">IF(D305="PRE","N/A", 
IF(D305="SUP",I305, 
IF(D305="Single-choice",I305, 
IF(D305="Single-choice w/ correct",I305, 
IF(D305="Series", LEFT(I305, FIND("    ",I305)
))))))</f>
        <v>Do you ever do any of the following to manage your privacy online? </v>
      </c>
      <c r="F305" s="8" t="str">
        <f aca="false">IF(D305="PRE",I305,
IF(D305="SUP",I305,
IF(D305="Single-choice","N/A",
IF(D305="Single-choice w/ correct","N/A",
IF(D305="Series", RIGHT(I305, LEN(I305) - FIND("    ",I305)-3
))))))</f>
        <v>Use a browser or search engine that doesn’t keep track of what you’re doing</v>
      </c>
      <c r="G305" s="6" t="s">
        <v>73</v>
      </c>
      <c r="H305" s="6" t="s">
        <v>298</v>
      </c>
      <c r="I305" s="9" t="s">
        <v>299</v>
      </c>
      <c r="J305" s="6" t="n">
        <v>1</v>
      </c>
      <c r="K305" s="6" t="s">
        <v>175</v>
      </c>
    </row>
    <row r="306" customFormat="false" ht="23.3" hidden="false" customHeight="false" outlineLevel="0" collapsed="false">
      <c r="A306" s="1" t="s">
        <v>13</v>
      </c>
      <c r="B306" s="1" t="s">
        <v>172</v>
      </c>
      <c r="C306" s="1" t="str">
        <f aca="false">IF(D306="PRE","N/A",
IF(D306="SUP","N/A",
IF(D306="Single-choice",H306,
IF(D306="Single-choice w/ correct",H306,
IF(D306="Series", LEFT(H306,FIND("_",H306)-1) &amp; "_" &amp; MID(H306,FIND("_",H306,FIND("_",H306)+1)+1,999)
)))))</f>
        <v>DIGHABT2_W127</v>
      </c>
      <c r="D306" s="6" t="s">
        <v>78</v>
      </c>
      <c r="E306" s="7" t="str">
        <f aca="false">IF(D306="PRE","N/A", 
IF(D306="SUP",I306, 
IF(D306="Single-choice",I306, 
IF(D306="Single-choice w/ correct",I306, 
IF(D306="Series", LEFT(I306, FIND("    ",I306)
))))))</f>
        <v>Do you ever do any of the following to manage your privacy online? </v>
      </c>
      <c r="F306" s="8" t="str">
        <f aca="false">IF(D306="PRE",I306,
IF(D306="SUP",I306,
IF(D306="Single-choice","N/A",
IF(D306="Single-choice w/ correct","N/A",
IF(D306="Series", RIGHT(I306, LEN(I306) - FIND("    ",I306)-3
))))))</f>
        <v>Use a browser or search engine that doesn’t keep track of what you’re doing</v>
      </c>
      <c r="G306" s="6" t="s">
        <v>73</v>
      </c>
      <c r="H306" s="10" t="s">
        <v>298</v>
      </c>
      <c r="I306" s="9" t="s">
        <v>299</v>
      </c>
      <c r="J306" s="10" t="n">
        <v>2</v>
      </c>
      <c r="K306" s="10" t="s">
        <v>176</v>
      </c>
    </row>
    <row r="307" customFormat="false" ht="23.3" hidden="false" customHeight="false" outlineLevel="0" collapsed="false">
      <c r="A307" s="1" t="s">
        <v>13</v>
      </c>
      <c r="B307" s="1" t="s">
        <v>172</v>
      </c>
      <c r="C307" s="1" t="str">
        <f aca="false">IF(D307="PRE","N/A",
IF(D307="SUP","N/A",
IF(D307="Single-choice",H307,
IF(D307="Single-choice w/ correct",H307,
IF(D307="Series", LEFT(H307,FIND("_",H307)-1) &amp; "_" &amp; MID(H307,FIND("_",H307,FIND("_",H307)+1)+1,999)
)))))</f>
        <v>DIGHABT2_W127</v>
      </c>
      <c r="D307" s="6" t="s">
        <v>78</v>
      </c>
      <c r="E307" s="7" t="str">
        <f aca="false">IF(D307="PRE","N/A", 
IF(D307="SUP",I307, 
IF(D307="Single-choice",I307, 
IF(D307="Single-choice w/ correct",I307, 
IF(D307="Series", LEFT(I307, FIND("    ",I307)
))))))</f>
        <v>Do you ever do any of the following to manage your privacy online? </v>
      </c>
      <c r="F307" s="8" t="str">
        <f aca="false">IF(D307="PRE",I307,
IF(D307="SUP",I307,
IF(D307="Single-choice","N/A",
IF(D307="Single-choice w/ correct","N/A",
IF(D307="Series", RIGHT(I307, LEN(I307) - FIND("    ",I307)-3
))))))</f>
        <v>Use a browser or search engine that doesn’t keep track of what you’re doing</v>
      </c>
      <c r="G307" s="6" t="s">
        <v>73</v>
      </c>
      <c r="H307" s="10" t="s">
        <v>298</v>
      </c>
      <c r="I307" s="9" t="s">
        <v>299</v>
      </c>
      <c r="J307" s="10" t="n">
        <v>99</v>
      </c>
      <c r="K307" s="10" t="s">
        <v>64</v>
      </c>
    </row>
    <row r="308" customFormat="false" ht="15" hidden="false" customHeight="true" outlineLevel="0" collapsed="false">
      <c r="A308" s="1" t="s">
        <v>13</v>
      </c>
      <c r="B308" s="1" t="s">
        <v>172</v>
      </c>
      <c r="C308" s="1" t="str">
        <f aca="false">IF(D308="PRE","N/A",
IF(D308="SUP","N/A",
IF(D308="Single-choice",H308,
IF(D308="Single-choice w/ correct",H308,
IF(D308="Series", LEFT(H308,FIND("_",H308)-1) &amp; "_" &amp; MID(H308,FIND("_",H308,FIND("_",H308)+1)+1,999)
)))))</f>
        <v>DIGHABT2_W127</v>
      </c>
      <c r="D308" s="6" t="s">
        <v>78</v>
      </c>
      <c r="E308" s="7" t="str">
        <f aca="false">IF(D308="PRE","N/A", 
IF(D308="SUP",I308, 
IF(D308="Single-choice",I308, 
IF(D308="Single-choice w/ correct",I308, 
IF(D308="Series", LEFT(I308, FIND("    ",I308)
))))))</f>
        <v>Do you ever do any of the following to manage your privacy online? </v>
      </c>
      <c r="F308" s="8" t="str">
        <f aca="false">IF(D308="PRE",I308,
IF(D308="SUP",I308,
IF(D308="Single-choice","N/A",
IF(D308="Single-choice w/ correct","N/A",
IF(D308="Series", RIGHT(I308, LEN(I308) - FIND("    ",I308)-3
))))))</f>
        <v>Change your social media privacy settings</v>
      </c>
      <c r="G308" s="6" t="s">
        <v>73</v>
      </c>
      <c r="H308" s="6" t="s">
        <v>300</v>
      </c>
      <c r="I308" s="9" t="s">
        <v>301</v>
      </c>
      <c r="J308" s="6" t="n">
        <v>1</v>
      </c>
      <c r="K308" s="6" t="s">
        <v>175</v>
      </c>
    </row>
    <row r="309" customFormat="false" ht="23.3" hidden="false" customHeight="false" outlineLevel="0" collapsed="false">
      <c r="A309" s="1" t="s">
        <v>13</v>
      </c>
      <c r="B309" s="1" t="s">
        <v>172</v>
      </c>
      <c r="C309" s="1" t="str">
        <f aca="false">IF(D309="PRE","N/A",
IF(D309="SUP","N/A",
IF(D309="Single-choice",H309,
IF(D309="Single-choice w/ correct",H309,
IF(D309="Series", LEFT(H309,FIND("_",H309)-1) &amp; "_" &amp; MID(H309,FIND("_",H309,FIND("_",H309)+1)+1,999)
)))))</f>
        <v>DIGHABT2_W127</v>
      </c>
      <c r="D309" s="6" t="s">
        <v>78</v>
      </c>
      <c r="E309" s="7" t="str">
        <f aca="false">IF(D309="PRE","N/A", 
IF(D309="SUP",I309, 
IF(D309="Single-choice",I309, 
IF(D309="Single-choice w/ correct",I309, 
IF(D309="Series", LEFT(I309, FIND("    ",I309)
))))))</f>
        <v>Do you ever do any of the following to manage your privacy online? </v>
      </c>
      <c r="F309" s="8" t="str">
        <f aca="false">IF(D309="PRE",I309,
IF(D309="SUP",I309,
IF(D309="Single-choice","N/A",
IF(D309="Single-choice w/ correct","N/A",
IF(D309="Series", RIGHT(I309, LEN(I309) - FIND("    ",I309)-3
))))))</f>
        <v>Change your social media privacy settings</v>
      </c>
      <c r="G309" s="6" t="s">
        <v>73</v>
      </c>
      <c r="H309" s="10" t="s">
        <v>300</v>
      </c>
      <c r="I309" s="9" t="s">
        <v>301</v>
      </c>
      <c r="J309" s="10" t="n">
        <v>2</v>
      </c>
      <c r="K309" s="10" t="s">
        <v>176</v>
      </c>
    </row>
    <row r="310" customFormat="false" ht="23.3" hidden="false" customHeight="false" outlineLevel="0" collapsed="false">
      <c r="A310" s="1" t="s">
        <v>13</v>
      </c>
      <c r="B310" s="1" t="s">
        <v>172</v>
      </c>
      <c r="C310" s="1" t="str">
        <f aca="false">IF(D310="PRE","N/A",
IF(D310="SUP","N/A",
IF(D310="Single-choice",H310,
IF(D310="Single-choice w/ correct",H310,
IF(D310="Series", LEFT(H310,FIND("_",H310)-1) &amp; "_" &amp; MID(H310,FIND("_",H310,FIND("_",H310)+1)+1,999)
)))))</f>
        <v>DIGHABT2_W127</v>
      </c>
      <c r="D310" s="6" t="s">
        <v>78</v>
      </c>
      <c r="E310" s="7" t="str">
        <f aca="false">IF(D310="PRE","N/A", 
IF(D310="SUP",I310, 
IF(D310="Single-choice",I310, 
IF(D310="Single-choice w/ correct",I310, 
IF(D310="Series", LEFT(I310, FIND("    ",I310)
))))))</f>
        <v>Do you ever do any of the following to manage your privacy online? </v>
      </c>
      <c r="F310" s="8" t="str">
        <f aca="false">IF(D310="PRE",I310,
IF(D310="SUP",I310,
IF(D310="Single-choice","N/A",
IF(D310="Single-choice w/ correct","N/A",
IF(D310="Series", RIGHT(I310, LEN(I310) - FIND("    ",I310)-3
))))))</f>
        <v>Change your social media privacy settings</v>
      </c>
      <c r="G310" s="6" t="s">
        <v>73</v>
      </c>
      <c r="H310" s="10" t="s">
        <v>300</v>
      </c>
      <c r="I310" s="9" t="s">
        <v>301</v>
      </c>
      <c r="J310" s="10" t="n">
        <v>99</v>
      </c>
      <c r="K310" s="10" t="s">
        <v>64</v>
      </c>
    </row>
    <row r="311" customFormat="false" ht="15" hidden="false" customHeight="true" outlineLevel="0" collapsed="false">
      <c r="A311" s="1" t="s">
        <v>13</v>
      </c>
      <c r="B311" s="1" t="s">
        <v>172</v>
      </c>
      <c r="C311" s="1" t="str">
        <f aca="false">IF(D311="PRE","N/A",
IF(D311="SUP","N/A",
IF(D311="Single-choice",H311,
IF(D311="Single-choice w/ correct",H311,
IF(D311="Series", LEFT(H311,FIND("_",H311)-1) &amp; "_" &amp; MID(H311,FIND("_",H311,FIND("_",H311)+1)+1,999)
)))))</f>
        <v>PWFEEL_W127</v>
      </c>
      <c r="D311" s="6" t="s">
        <v>78</v>
      </c>
      <c r="E311" s="7" t="str">
        <f aca="false">IF(D311="PRE","N/A", 
IF(D311="SUP",I311, 
IF(D311="Single-choice",I311, 
IF(D311="Single-choice w/ correct",I311, 
IF(D311="Series", LEFT(I311, FIND("    ",I311)
))))))</f>
        <v>Do you ever feel… </v>
      </c>
      <c r="F311" s="8" t="str">
        <f aca="false">IF(D311="PRE",I311,
IF(D311="SUP",I311,
IF(D311="Single-choice","N/A",
IF(D311="Single-choice w/ correct","N/A",
IF(D311="Series", RIGHT(I311, LEN(I311) - FIND("    ",I311)-3
))))))</f>
        <v>Overwhelmed by the amount of passwords you have to keep track of?</v>
      </c>
      <c r="G311" s="6" t="s">
        <v>73</v>
      </c>
      <c r="H311" s="6" t="s">
        <v>302</v>
      </c>
      <c r="I311" s="9" t="s">
        <v>303</v>
      </c>
      <c r="J311" s="6" t="n">
        <v>1</v>
      </c>
      <c r="K311" s="6" t="s">
        <v>304</v>
      </c>
    </row>
    <row r="312" customFormat="false" ht="23.3" hidden="false" customHeight="false" outlineLevel="0" collapsed="false">
      <c r="A312" s="1" t="s">
        <v>13</v>
      </c>
      <c r="B312" s="1" t="s">
        <v>172</v>
      </c>
      <c r="C312" s="1" t="str">
        <f aca="false">IF(D312="PRE","N/A",
IF(D312="SUP","N/A",
IF(D312="Single-choice",H312,
IF(D312="Single-choice w/ correct",H312,
IF(D312="Series", LEFT(H312,FIND("_",H312)-1) &amp; "_" &amp; MID(H312,FIND("_",H312,FIND("_",H312)+1)+1,999)
)))))</f>
        <v>PWFEEL_W127</v>
      </c>
      <c r="D312" s="6" t="s">
        <v>78</v>
      </c>
      <c r="E312" s="7" t="str">
        <f aca="false">IF(D312="PRE","N/A", 
IF(D312="SUP",I312, 
IF(D312="Single-choice",I312, 
IF(D312="Single-choice w/ correct",I312, 
IF(D312="Series", LEFT(I312, FIND("    ",I312)
))))))</f>
        <v>Do you ever feel… </v>
      </c>
      <c r="F312" s="8" t="str">
        <f aca="false">IF(D312="PRE",I312,
IF(D312="SUP",I312,
IF(D312="Single-choice","N/A",
IF(D312="Single-choice w/ correct","N/A",
IF(D312="Series", RIGHT(I312, LEN(I312) - FIND("    ",I312)-3
))))))</f>
        <v>Overwhelmed by the amount of passwords you have to keep track of?</v>
      </c>
      <c r="G312" s="6" t="s">
        <v>73</v>
      </c>
      <c r="H312" s="10" t="s">
        <v>302</v>
      </c>
      <c r="I312" s="9" t="s">
        <v>303</v>
      </c>
      <c r="J312" s="10" t="n">
        <v>2</v>
      </c>
      <c r="K312" s="10" t="s">
        <v>305</v>
      </c>
    </row>
    <row r="313" customFormat="false" ht="23.3" hidden="false" customHeight="false" outlineLevel="0" collapsed="false">
      <c r="A313" s="1" t="s">
        <v>13</v>
      </c>
      <c r="B313" s="1" t="s">
        <v>172</v>
      </c>
      <c r="C313" s="1" t="str">
        <f aca="false">IF(D313="PRE","N/A",
IF(D313="SUP","N/A",
IF(D313="Single-choice",H313,
IF(D313="Single-choice w/ correct",H313,
IF(D313="Series", LEFT(H313,FIND("_",H313)-1) &amp; "_" &amp; MID(H313,FIND("_",H313,FIND("_",H313)+1)+1,999)
)))))</f>
        <v>PWFEEL_W127</v>
      </c>
      <c r="D313" s="6" t="s">
        <v>78</v>
      </c>
      <c r="E313" s="7" t="str">
        <f aca="false">IF(D313="PRE","N/A", 
IF(D313="SUP",I313, 
IF(D313="Single-choice",I313, 
IF(D313="Single-choice w/ correct",I313, 
IF(D313="Series", LEFT(I313, FIND("    ",I313)
))))))</f>
        <v>Do you ever feel… </v>
      </c>
      <c r="F313" s="8" t="str">
        <f aca="false">IF(D313="PRE",I313,
IF(D313="SUP",I313,
IF(D313="Single-choice","N/A",
IF(D313="Single-choice w/ correct","N/A",
IF(D313="Series", RIGHT(I313, LEN(I313) - FIND("    ",I313)-3
))))))</f>
        <v>Overwhelmed by the amount of passwords you have to keep track of?</v>
      </c>
      <c r="G313" s="6" t="s">
        <v>73</v>
      </c>
      <c r="H313" s="10" t="s">
        <v>302</v>
      </c>
      <c r="I313" s="9" t="s">
        <v>303</v>
      </c>
      <c r="J313" s="10" t="n">
        <v>99</v>
      </c>
      <c r="K313" s="10" t="s">
        <v>64</v>
      </c>
    </row>
    <row r="314" customFormat="false" ht="15" hidden="false" customHeight="true" outlineLevel="0" collapsed="false">
      <c r="A314" s="1" t="s">
        <v>13</v>
      </c>
      <c r="B314" s="1" t="s">
        <v>172</v>
      </c>
      <c r="C314" s="1" t="str">
        <f aca="false">IF(D314="PRE","N/A",
IF(D314="SUP","N/A",
IF(D314="Single-choice",H314,
IF(D314="Single-choice w/ correct",H314,
IF(D314="Series", LEFT(H314,FIND("_",H314)-1) &amp; "_" &amp; MID(H314,FIND("_",H314,FIND("_",H314)+1)+1,999)
)))))</f>
        <v>PWFEEL_W127</v>
      </c>
      <c r="D314" s="6" t="s">
        <v>78</v>
      </c>
      <c r="E314" s="7" t="str">
        <f aca="false">IF(D314="PRE","N/A", 
IF(D314="SUP",I314, 
IF(D314="Single-choice",I314, 
IF(D314="Single-choice w/ correct",I314, 
IF(D314="Series", LEFT(I314, FIND("    ",I314)
))))))</f>
        <v>Do you ever feel… </v>
      </c>
      <c r="F314" s="8" t="str">
        <f aca="false">IF(D314="PRE",I314,
IF(D314="SUP",I314,
IF(D314="Single-choice","N/A",
IF(D314="Single-choice w/ correct","N/A",
IF(D314="Series", RIGHT(I314, LEN(I314) - FIND("    ",I314)-3
))))))</f>
        <v>Anxious about whether the passwords you use are strong and secure?</v>
      </c>
      <c r="G314" s="6" t="s">
        <v>73</v>
      </c>
      <c r="H314" s="6" t="s">
        <v>306</v>
      </c>
      <c r="I314" s="9" t="s">
        <v>307</v>
      </c>
      <c r="J314" s="6" t="n">
        <v>1</v>
      </c>
      <c r="K314" s="6" t="s">
        <v>304</v>
      </c>
    </row>
    <row r="315" customFormat="false" ht="23.3" hidden="false" customHeight="false" outlineLevel="0" collapsed="false">
      <c r="A315" s="1" t="s">
        <v>13</v>
      </c>
      <c r="B315" s="1" t="s">
        <v>172</v>
      </c>
      <c r="C315" s="1" t="str">
        <f aca="false">IF(D315="PRE","N/A",
IF(D315="SUP","N/A",
IF(D315="Single-choice",H315,
IF(D315="Single-choice w/ correct",H315,
IF(D315="Series", LEFT(H315,FIND("_",H315)-1) &amp; "_" &amp; MID(H315,FIND("_",H315,FIND("_",H315)+1)+1,999)
)))))</f>
        <v>PWFEEL_W127</v>
      </c>
      <c r="D315" s="6" t="s">
        <v>78</v>
      </c>
      <c r="E315" s="7" t="str">
        <f aca="false">IF(D315="PRE","N/A", 
IF(D315="SUP",I315, 
IF(D315="Single-choice",I315, 
IF(D315="Single-choice w/ correct",I315, 
IF(D315="Series", LEFT(I315, FIND("    ",I315)
))))))</f>
        <v>Do you ever feel… </v>
      </c>
      <c r="F315" s="8" t="str">
        <f aca="false">IF(D315="PRE",I315,
IF(D315="SUP",I315,
IF(D315="Single-choice","N/A",
IF(D315="Single-choice w/ correct","N/A",
IF(D315="Series", RIGHT(I315, LEN(I315) - FIND("    ",I315)-3
))))))</f>
        <v>Anxious about whether the passwords you use are strong and secure?</v>
      </c>
      <c r="G315" s="6" t="s">
        <v>73</v>
      </c>
      <c r="H315" s="10" t="s">
        <v>306</v>
      </c>
      <c r="I315" s="9" t="s">
        <v>307</v>
      </c>
      <c r="J315" s="10" t="n">
        <v>2</v>
      </c>
      <c r="K315" s="10" t="s">
        <v>305</v>
      </c>
    </row>
    <row r="316" customFormat="false" ht="23.3" hidden="false" customHeight="false" outlineLevel="0" collapsed="false">
      <c r="A316" s="1" t="s">
        <v>13</v>
      </c>
      <c r="B316" s="1" t="s">
        <v>172</v>
      </c>
      <c r="C316" s="1" t="str">
        <f aca="false">IF(D316="PRE","N/A",
IF(D316="SUP","N/A",
IF(D316="Single-choice",H316,
IF(D316="Single-choice w/ correct",H316,
IF(D316="Series", LEFT(H316,FIND("_",H316)-1) &amp; "_" &amp; MID(H316,FIND("_",H316,FIND("_",H316)+1)+1,999)
)))))</f>
        <v>PWFEEL_W127</v>
      </c>
      <c r="D316" s="6" t="s">
        <v>78</v>
      </c>
      <c r="E316" s="7" t="str">
        <f aca="false">IF(D316="PRE","N/A", 
IF(D316="SUP",I316, 
IF(D316="Single-choice",I316, 
IF(D316="Single-choice w/ correct",I316, 
IF(D316="Series", LEFT(I316, FIND("    ",I316)
))))))</f>
        <v>Do you ever feel… </v>
      </c>
      <c r="F316" s="8" t="str">
        <f aca="false">IF(D316="PRE",I316,
IF(D316="SUP",I316,
IF(D316="Single-choice","N/A",
IF(D316="Single-choice w/ correct","N/A",
IF(D316="Series", RIGHT(I316, LEN(I316) - FIND("    ",I316)-3
))))))</f>
        <v>Anxious about whether the passwords you use are strong and secure?</v>
      </c>
      <c r="G316" s="6" t="s">
        <v>73</v>
      </c>
      <c r="H316" s="10" t="s">
        <v>306</v>
      </c>
      <c r="I316" s="9" t="s">
        <v>307</v>
      </c>
      <c r="J316" s="10" t="n">
        <v>99</v>
      </c>
      <c r="K316" s="10" t="s">
        <v>64</v>
      </c>
    </row>
    <row r="317" customFormat="false" ht="15" hidden="false" customHeight="true" outlineLevel="0" collapsed="false">
      <c r="A317" s="1" t="s">
        <v>13</v>
      </c>
      <c r="B317" s="1" t="s">
        <v>172</v>
      </c>
      <c r="C317" s="1" t="str">
        <f aca="false">IF(D317="PRE","N/A",
IF(D317="SUP","N/A",
IF(D317="Single-choice",H317,
IF(D317="Single-choice w/ correct",H317,
IF(D317="Series", LEFT(H317,FIND("_",H317)-1) &amp; "_" &amp; MID(H317,FIND("_",H317,FIND("_",H317)+1)+1,999)
)))))</f>
        <v>PWPREF_W127</v>
      </c>
      <c r="D317" s="6" t="s">
        <v>55</v>
      </c>
      <c r="E317" s="7" t="str">
        <f aca="false">IF(D317="PRE","N/A", 
IF(D317="SUP",I317, 
IF(D317="Single-choice",I317, 
IF(D317="Single-choice w/ correct",I317, 
IF(D317="Series", LEFT(I317, FIND("    ",I317)
))))))</f>
        <v>When picking a password, do you generally create one that you think will be…</v>
      </c>
      <c r="F317" s="8" t="str">
        <f aca="false">IF(D317="PRE",I317,
IF(D317="SUP",I317,
IF(D317="Single-choice","N/A",
IF(D317="Single-choice w/ correct","N/A",
IF(D317="Series", RIGHT(I317, LEN(I317) - FIND("    ",I317)-3
))))))</f>
        <v>N/A</v>
      </c>
      <c r="G317" s="6" t="s">
        <v>73</v>
      </c>
      <c r="H317" s="6" t="s">
        <v>308</v>
      </c>
      <c r="I317" s="9" t="s">
        <v>309</v>
      </c>
      <c r="J317" s="6" t="n">
        <v>1</v>
      </c>
      <c r="K317" s="6" t="s">
        <v>310</v>
      </c>
    </row>
    <row r="318" customFormat="false" ht="23.3" hidden="false" customHeight="false" outlineLevel="0" collapsed="false">
      <c r="A318" s="1" t="s">
        <v>13</v>
      </c>
      <c r="B318" s="1" t="s">
        <v>172</v>
      </c>
      <c r="C318" s="1" t="str">
        <f aca="false">IF(D318="PRE","N/A",
IF(D318="SUP","N/A",
IF(D318="Single-choice",H318,
IF(D318="Single-choice w/ correct",H318,
IF(D318="Series", LEFT(H318,FIND("_",H318)-1) &amp; "_" &amp; MID(H318,FIND("_",H318,FIND("_",H318)+1)+1,999)
)))))</f>
        <v>PWPREF_W127</v>
      </c>
      <c r="D318" s="6" t="s">
        <v>55</v>
      </c>
      <c r="E318" s="7" t="str">
        <f aca="false">IF(D318="PRE","N/A", 
IF(D318="SUP",I318, 
IF(D318="Single-choice",I318, 
IF(D318="Single-choice w/ correct",I318, 
IF(D318="Series", LEFT(I318, FIND("    ",I318)
))))))</f>
        <v>When picking a password, do you generally create one that you think will be…</v>
      </c>
      <c r="F318" s="8" t="str">
        <f aca="false">IF(D318="PRE",I318,
IF(D318="SUP",I318,
IF(D318="Single-choice","N/A",
IF(D318="Single-choice w/ correct","N/A",
IF(D318="Series", RIGHT(I318, LEN(I318) - FIND("    ",I318)-3
))))))</f>
        <v>N/A</v>
      </c>
      <c r="G318" s="6" t="s">
        <v>73</v>
      </c>
      <c r="H318" s="10" t="s">
        <v>308</v>
      </c>
      <c r="I318" s="9" t="s">
        <v>309</v>
      </c>
      <c r="J318" s="10" t="n">
        <v>2</v>
      </c>
      <c r="K318" s="10" t="s">
        <v>311</v>
      </c>
    </row>
    <row r="319" customFormat="false" ht="23.3" hidden="false" customHeight="false" outlineLevel="0" collapsed="false">
      <c r="A319" s="1" t="s">
        <v>13</v>
      </c>
      <c r="B319" s="1" t="s">
        <v>172</v>
      </c>
      <c r="C319" s="1" t="str">
        <f aca="false">IF(D319="PRE","N/A",
IF(D319="SUP","N/A",
IF(D319="Single-choice",H319,
IF(D319="Single-choice w/ correct",H319,
IF(D319="Series", LEFT(H319,FIND("_",H319)-1) &amp; "_" &amp; MID(H319,FIND("_",H319,FIND("_",H319)+1)+1,999)
)))))</f>
        <v>PWPREF_W127</v>
      </c>
      <c r="D319" s="6" t="s">
        <v>55</v>
      </c>
      <c r="E319" s="7" t="str">
        <f aca="false">IF(D319="PRE","N/A", 
IF(D319="SUP",I319, 
IF(D319="Single-choice",I319, 
IF(D319="Single-choice w/ correct",I319, 
IF(D319="Series", LEFT(I319, FIND("    ",I319)
))))))</f>
        <v>When picking a password, do you generally create one that you think will be…</v>
      </c>
      <c r="F319" s="8" t="str">
        <f aca="false">IF(D319="PRE",I319,
IF(D319="SUP",I319,
IF(D319="Single-choice","N/A",
IF(D319="Single-choice w/ correct","N/A",
IF(D319="Series", RIGHT(I319, LEN(I319) - FIND("    ",I319)-3
))))))</f>
        <v>N/A</v>
      </c>
      <c r="G319" s="6" t="s">
        <v>73</v>
      </c>
      <c r="H319" s="10" t="s">
        <v>308</v>
      </c>
      <c r="I319" s="9" t="s">
        <v>309</v>
      </c>
      <c r="J319" s="10" t="n">
        <v>99</v>
      </c>
      <c r="K319" s="10" t="s">
        <v>64</v>
      </c>
    </row>
    <row r="320" customFormat="false" ht="15" hidden="false" customHeight="true" outlineLevel="0" collapsed="false">
      <c r="A320" s="1" t="s">
        <v>13</v>
      </c>
      <c r="B320" s="1" t="s">
        <v>172</v>
      </c>
      <c r="C320" s="1" t="str">
        <f aca="false">IF(D320="PRE","N/A",
IF(D320="SUP","N/A",
IF(D320="Single-choice",H320,
IF(D320="Single-choice w/ correct",H320,
IF(D320="Series", LEFT(H320,FIND("_",H320)-1) &amp; "_" &amp; MID(H320,FIND("_",H320,FIND("_",H320)+1)+1,999)
)))))</f>
        <v>PWMAN_W127</v>
      </c>
      <c r="D320" s="6" t="s">
        <v>55</v>
      </c>
      <c r="E320" s="7" t="str">
        <f aca="false">IF(D320="PRE","N/A", 
IF(D320="SUP",I320, 
IF(D320="Single-choice",I320, 
IF(D320="Single-choice w/ correct",I320, 
IF(D320="Series", LEFT(I320, FIND("    ",I320)
))))))</f>
        <v>Do you use a password manager, such as LastPass or iCloud Keychain, to help keep track of your online passwords?</v>
      </c>
      <c r="F320" s="8" t="str">
        <f aca="false">IF(D320="PRE",I320,
IF(D320="SUP",I320,
IF(D320="Single-choice","N/A",
IF(D320="Single-choice w/ correct","N/A",
IF(D320="Series", RIGHT(I320, LEN(I320) - FIND("    ",I320)-3
))))))</f>
        <v>N/A</v>
      </c>
      <c r="G320" s="6" t="s">
        <v>73</v>
      </c>
      <c r="H320" s="6" t="s">
        <v>312</v>
      </c>
      <c r="I320" s="9" t="s">
        <v>313</v>
      </c>
      <c r="J320" s="6" t="n">
        <v>1</v>
      </c>
      <c r="K320" s="6" t="s">
        <v>314</v>
      </c>
    </row>
    <row r="321" customFormat="false" ht="23.3" hidden="false" customHeight="false" outlineLevel="0" collapsed="false">
      <c r="A321" s="1" t="s">
        <v>13</v>
      </c>
      <c r="B321" s="1" t="s">
        <v>172</v>
      </c>
      <c r="C321" s="1" t="str">
        <f aca="false">IF(D321="PRE","N/A",
IF(D321="SUP","N/A",
IF(D321="Single-choice",H321,
IF(D321="Single-choice w/ correct",H321,
IF(D321="Series", LEFT(H321,FIND("_",H321)-1) &amp; "_" &amp; MID(H321,FIND("_",H321,FIND("_",H321)+1)+1,999)
)))))</f>
        <v>PWMAN_W127</v>
      </c>
      <c r="D321" s="6" t="s">
        <v>55</v>
      </c>
      <c r="E321" s="7" t="str">
        <f aca="false">IF(D321="PRE","N/A", 
IF(D321="SUP",I321, 
IF(D321="Single-choice",I321, 
IF(D321="Single-choice w/ correct",I321, 
IF(D321="Series", LEFT(I321, FIND("    ",I321)
))))))</f>
        <v>Do you use a password manager, such as LastPass or iCloud Keychain, to help keep track of your online passwords?</v>
      </c>
      <c r="F321" s="8" t="str">
        <f aca="false">IF(D321="PRE",I321,
IF(D321="SUP",I321,
IF(D321="Single-choice","N/A",
IF(D321="Single-choice w/ correct","N/A",
IF(D321="Series", RIGHT(I321, LEN(I321) - FIND("    ",I321)-3
))))))</f>
        <v>N/A</v>
      </c>
      <c r="G321" s="6" t="s">
        <v>73</v>
      </c>
      <c r="H321" s="10" t="s">
        <v>312</v>
      </c>
      <c r="I321" s="9" t="s">
        <v>313</v>
      </c>
      <c r="J321" s="10" t="n">
        <v>2</v>
      </c>
      <c r="K321" s="10" t="s">
        <v>315</v>
      </c>
    </row>
    <row r="322" customFormat="false" ht="23.3" hidden="false" customHeight="false" outlineLevel="0" collapsed="false">
      <c r="A322" s="1" t="s">
        <v>13</v>
      </c>
      <c r="B322" s="1" t="s">
        <v>172</v>
      </c>
      <c r="C322" s="1" t="str">
        <f aca="false">IF(D322="PRE","N/A",
IF(D322="SUP","N/A",
IF(D322="Single-choice",H322,
IF(D322="Single-choice w/ correct",H322,
IF(D322="Series", LEFT(H322,FIND("_",H322)-1) &amp; "_" &amp; MID(H322,FIND("_",H322,FIND("_",H322)+1)+1,999)
)))))</f>
        <v>PWMAN_W127</v>
      </c>
      <c r="D322" s="6" t="s">
        <v>55</v>
      </c>
      <c r="E322" s="7" t="str">
        <f aca="false">IF(D322="PRE","N/A", 
IF(D322="SUP",I322, 
IF(D322="Single-choice",I322, 
IF(D322="Single-choice w/ correct",I322, 
IF(D322="Series", LEFT(I322, FIND("    ",I322)
))))))</f>
        <v>Do you use a password manager, such as LastPass or iCloud Keychain, to help keep track of your online passwords?</v>
      </c>
      <c r="F322" s="8" t="str">
        <f aca="false">IF(D322="PRE",I322,
IF(D322="SUP",I322,
IF(D322="Single-choice","N/A",
IF(D322="Single-choice w/ correct","N/A",
IF(D322="Series", RIGHT(I322, LEN(I322) - FIND("    ",I322)-3
))))))</f>
        <v>N/A</v>
      </c>
      <c r="G322" s="6" t="s">
        <v>73</v>
      </c>
      <c r="H322" s="10" t="s">
        <v>312</v>
      </c>
      <c r="I322" s="9" t="s">
        <v>313</v>
      </c>
      <c r="J322" s="10" t="n">
        <v>99</v>
      </c>
      <c r="K322" s="10" t="s">
        <v>64</v>
      </c>
    </row>
    <row r="323" customFormat="false" ht="15" hidden="false" customHeight="true" outlineLevel="0" collapsed="false">
      <c r="A323" s="1" t="s">
        <v>13</v>
      </c>
      <c r="B323" s="1" t="s">
        <v>172</v>
      </c>
      <c r="C323" s="1" t="str">
        <f aca="false">IF(D323="PRE","N/A",
IF(D323="SUP","N/A",
IF(D323="Single-choice",H323,
IF(D323="Single-choice w/ correct",H323,
IF(D323="Series", LEFT(H323,FIND("_",H323)-1) &amp; "_" &amp; MID(H323,FIND("_",H323,FIND("_",H323)+1)+1,999)
)))))</f>
        <v>PWEXP_W127</v>
      </c>
      <c r="D323" s="6" t="s">
        <v>78</v>
      </c>
      <c r="E323" s="7" t="str">
        <f aca="false">IF(D323="PRE","N/A", 
IF(D323="SUP",I323, 
IF(D323="Single-choice",I323, 
IF(D323="Single-choice w/ correct",I323, 
IF(D323="Series", LEFT(I323, FIND("    ",I323)
))))))</f>
        <v>In thinking about how you access your different online accounts, how often do you… </v>
      </c>
      <c r="F323" s="8" t="str">
        <f aca="false">IF(D323="PRE",I323,
IF(D323="SUP",I323,
IF(D323="Single-choice","N/A",
IF(D323="Single-choice w/ correct","N/A",
IF(D323="Series", RIGHT(I323, LEN(I323) - FIND("    ",I323)-3
))))))</f>
        <v>Reset your passwords</v>
      </c>
      <c r="G323" s="6" t="s">
        <v>73</v>
      </c>
      <c r="H323" s="6" t="s">
        <v>316</v>
      </c>
      <c r="I323" s="9" t="s">
        <v>317</v>
      </c>
      <c r="J323" s="6" t="n">
        <v>1</v>
      </c>
      <c r="K323" s="6" t="s">
        <v>244</v>
      </c>
    </row>
    <row r="324" customFormat="false" ht="23.3" hidden="false" customHeight="false" outlineLevel="0" collapsed="false">
      <c r="A324" s="1" t="s">
        <v>13</v>
      </c>
      <c r="B324" s="1" t="s">
        <v>172</v>
      </c>
      <c r="C324" s="1" t="str">
        <f aca="false">IF(D324="PRE","N/A",
IF(D324="SUP","N/A",
IF(D324="Single-choice",H324,
IF(D324="Single-choice w/ correct",H324,
IF(D324="Series", LEFT(H324,FIND("_",H324)-1) &amp; "_" &amp; MID(H324,FIND("_",H324,FIND("_",H324)+1)+1,999)
)))))</f>
        <v>PWEXP_W127</v>
      </c>
      <c r="D324" s="6" t="s">
        <v>78</v>
      </c>
      <c r="E324" s="7" t="str">
        <f aca="false">IF(D324="PRE","N/A", 
IF(D324="SUP",I324, 
IF(D324="Single-choice",I324, 
IF(D324="Single-choice w/ correct",I324, 
IF(D324="Series", LEFT(I324, FIND("    ",I324)
))))))</f>
        <v>In thinking about how you access your different online accounts, how often do you… </v>
      </c>
      <c r="F324" s="8" t="str">
        <f aca="false">IF(D324="PRE",I324,
IF(D324="SUP",I324,
IF(D324="Single-choice","N/A",
IF(D324="Single-choice w/ correct","N/A",
IF(D324="Series", RIGHT(I324, LEN(I324) - FIND("    ",I324)-3
))))))</f>
        <v>Reset your passwords</v>
      </c>
      <c r="G324" s="6" t="s">
        <v>73</v>
      </c>
      <c r="H324" s="10" t="s">
        <v>316</v>
      </c>
      <c r="I324" s="9" t="s">
        <v>317</v>
      </c>
      <c r="J324" s="10" t="n">
        <v>2</v>
      </c>
      <c r="K324" s="10" t="s">
        <v>245</v>
      </c>
    </row>
    <row r="325" customFormat="false" ht="23.3" hidden="false" customHeight="false" outlineLevel="0" collapsed="false">
      <c r="A325" s="1" t="s">
        <v>13</v>
      </c>
      <c r="B325" s="1" t="s">
        <v>172</v>
      </c>
      <c r="C325" s="1" t="str">
        <f aca="false">IF(D325="PRE","N/A",
IF(D325="SUP","N/A",
IF(D325="Single-choice",H325,
IF(D325="Single-choice w/ correct",H325,
IF(D325="Series", LEFT(H325,FIND("_",H325)-1) &amp; "_" &amp; MID(H325,FIND("_",H325,FIND("_",H325)+1)+1,999)
)))))</f>
        <v>PWEXP_W127</v>
      </c>
      <c r="D325" s="6" t="s">
        <v>78</v>
      </c>
      <c r="E325" s="7" t="str">
        <f aca="false">IF(D325="PRE","N/A", 
IF(D325="SUP",I325, 
IF(D325="Single-choice",I325, 
IF(D325="Single-choice w/ correct",I325, 
IF(D325="Series", LEFT(I325, FIND("    ",I325)
))))))</f>
        <v>In thinking about how you access your different online accounts, how often do you… </v>
      </c>
      <c r="F325" s="8" t="str">
        <f aca="false">IF(D325="PRE",I325,
IF(D325="SUP",I325,
IF(D325="Single-choice","N/A",
IF(D325="Single-choice w/ correct","N/A",
IF(D325="Series", RIGHT(I325, LEN(I325) - FIND("    ",I325)-3
))))))</f>
        <v>Reset your passwords</v>
      </c>
      <c r="G325" s="6" t="s">
        <v>73</v>
      </c>
      <c r="H325" s="10" t="s">
        <v>316</v>
      </c>
      <c r="I325" s="9" t="s">
        <v>317</v>
      </c>
      <c r="J325" s="10" t="n">
        <v>3</v>
      </c>
      <c r="K325" s="10" t="s">
        <v>246</v>
      </c>
    </row>
    <row r="326" customFormat="false" ht="23.3" hidden="false" customHeight="false" outlineLevel="0" collapsed="false">
      <c r="A326" s="1" t="s">
        <v>13</v>
      </c>
      <c r="B326" s="1" t="s">
        <v>172</v>
      </c>
      <c r="C326" s="1" t="str">
        <f aca="false">IF(D326="PRE","N/A",
IF(D326="SUP","N/A",
IF(D326="Single-choice",H326,
IF(D326="Single-choice w/ correct",H326,
IF(D326="Series", LEFT(H326,FIND("_",H326)-1) &amp; "_" &amp; MID(H326,FIND("_",H326,FIND("_",H326)+1)+1,999)
)))))</f>
        <v>PWEXP_W127</v>
      </c>
      <c r="D326" s="6" t="s">
        <v>78</v>
      </c>
      <c r="E326" s="7" t="str">
        <f aca="false">IF(D326="PRE","N/A", 
IF(D326="SUP",I326, 
IF(D326="Single-choice",I326, 
IF(D326="Single-choice w/ correct",I326, 
IF(D326="Series", LEFT(I326, FIND("    ",I326)
))))))</f>
        <v>In thinking about how you access your different online accounts, how often do you… </v>
      </c>
      <c r="F326" s="8" t="str">
        <f aca="false">IF(D326="PRE",I326,
IF(D326="SUP",I326,
IF(D326="Single-choice","N/A",
IF(D326="Single-choice w/ correct","N/A",
IF(D326="Series", RIGHT(I326, LEN(I326) - FIND("    ",I326)-3
))))))</f>
        <v>Reset your passwords</v>
      </c>
      <c r="G326" s="6" t="s">
        <v>73</v>
      </c>
      <c r="H326" s="10" t="s">
        <v>316</v>
      </c>
      <c r="I326" s="9" t="s">
        <v>317</v>
      </c>
      <c r="J326" s="10" t="n">
        <v>4</v>
      </c>
      <c r="K326" s="10" t="s">
        <v>247</v>
      </c>
    </row>
    <row r="327" customFormat="false" ht="23.3" hidden="false" customHeight="false" outlineLevel="0" collapsed="false">
      <c r="A327" s="1" t="s">
        <v>13</v>
      </c>
      <c r="B327" s="1" t="s">
        <v>172</v>
      </c>
      <c r="C327" s="1" t="str">
        <f aca="false">IF(D327="PRE","N/A",
IF(D327="SUP","N/A",
IF(D327="Single-choice",H327,
IF(D327="Single-choice w/ correct",H327,
IF(D327="Series", LEFT(H327,FIND("_",H327)-1) &amp; "_" &amp; MID(H327,FIND("_",H327,FIND("_",H327)+1)+1,999)
)))))</f>
        <v>PWEXP_W127</v>
      </c>
      <c r="D327" s="6" t="s">
        <v>78</v>
      </c>
      <c r="E327" s="7" t="str">
        <f aca="false">IF(D327="PRE","N/A", 
IF(D327="SUP",I327, 
IF(D327="Single-choice",I327, 
IF(D327="Single-choice w/ correct",I327, 
IF(D327="Series", LEFT(I327, FIND("    ",I327)
))))))</f>
        <v>In thinking about how you access your different online accounts, how often do you… </v>
      </c>
      <c r="F327" s="8" t="str">
        <f aca="false">IF(D327="PRE",I327,
IF(D327="SUP",I327,
IF(D327="Single-choice","N/A",
IF(D327="Single-choice w/ correct","N/A",
IF(D327="Series", RIGHT(I327, LEN(I327) - FIND("    ",I327)-3
))))))</f>
        <v>Reset your passwords</v>
      </c>
      <c r="G327" s="6" t="s">
        <v>73</v>
      </c>
      <c r="H327" s="10" t="s">
        <v>316</v>
      </c>
      <c r="I327" s="9" t="s">
        <v>317</v>
      </c>
      <c r="J327" s="10" t="n">
        <v>5</v>
      </c>
      <c r="K327" s="10" t="s">
        <v>248</v>
      </c>
    </row>
    <row r="328" customFormat="false" ht="23.3" hidden="false" customHeight="false" outlineLevel="0" collapsed="false">
      <c r="A328" s="1" t="s">
        <v>13</v>
      </c>
      <c r="B328" s="1" t="s">
        <v>172</v>
      </c>
      <c r="C328" s="1" t="str">
        <f aca="false">IF(D328="PRE","N/A",
IF(D328="SUP","N/A",
IF(D328="Single-choice",H328,
IF(D328="Single-choice w/ correct",H328,
IF(D328="Series", LEFT(H328,FIND("_",H328)-1) &amp; "_" &amp; MID(H328,FIND("_",H328,FIND("_",H328)+1)+1,999)
)))))</f>
        <v>PWEXP_W127</v>
      </c>
      <c r="D328" s="6" t="s">
        <v>78</v>
      </c>
      <c r="E328" s="7" t="str">
        <f aca="false">IF(D328="PRE","N/A", 
IF(D328="SUP",I328, 
IF(D328="Single-choice",I328, 
IF(D328="Single-choice w/ correct",I328, 
IF(D328="Series", LEFT(I328, FIND("    ",I328)
))))))</f>
        <v>In thinking about how you access your different online accounts, how often do you… </v>
      </c>
      <c r="F328" s="8" t="str">
        <f aca="false">IF(D328="PRE",I328,
IF(D328="SUP",I328,
IF(D328="Single-choice","N/A",
IF(D328="Single-choice w/ correct","N/A",
IF(D328="Series", RIGHT(I328, LEN(I328) - FIND("    ",I328)-3
))))))</f>
        <v>Reset your passwords</v>
      </c>
      <c r="G328" s="6" t="s">
        <v>73</v>
      </c>
      <c r="H328" s="10" t="s">
        <v>316</v>
      </c>
      <c r="I328" s="9" t="s">
        <v>317</v>
      </c>
      <c r="J328" s="10" t="n">
        <v>99</v>
      </c>
      <c r="K328" s="10" t="s">
        <v>64</v>
      </c>
    </row>
    <row r="329" customFormat="false" ht="15" hidden="false" customHeight="true" outlineLevel="0" collapsed="false">
      <c r="A329" s="1" t="s">
        <v>13</v>
      </c>
      <c r="B329" s="1" t="s">
        <v>172</v>
      </c>
      <c r="C329" s="1" t="str">
        <f aca="false">IF(D329="PRE","N/A",
IF(D329="SUP","N/A",
IF(D329="Single-choice",H329,
IF(D329="Single-choice w/ correct",H329,
IF(D329="Series", LEFT(H329,FIND("_",H329)-1) &amp; "_" &amp; MID(H329,FIND("_",H329,FIND("_",H329)+1)+1,999)
)))))</f>
        <v>PWEXP_W127</v>
      </c>
      <c r="D329" s="6" t="s">
        <v>78</v>
      </c>
      <c r="E329" s="7" t="str">
        <f aca="false">IF(D329="PRE","N/A", 
IF(D329="SUP",I329, 
IF(D329="Single-choice",I329, 
IF(D329="Single-choice w/ correct",I329, 
IF(D329="Series", LEFT(I329, FIND("    ",I329)
))))))</f>
        <v>In thinking about how you access your different online accounts, how often do you… </v>
      </c>
      <c r="F329" s="8" t="str">
        <f aca="false">IF(D329="PRE",I329,
IF(D329="SUP",I329,
IF(D329="Single-choice","N/A",
IF(D329="Single-choice w/ correct","N/A",
IF(D329="Series", RIGHT(I329, LEN(I329) - FIND("    ",I329)-3
))))))</f>
        <v>Save passwords in your browser</v>
      </c>
      <c r="G329" s="6" t="s">
        <v>73</v>
      </c>
      <c r="H329" s="6" t="s">
        <v>318</v>
      </c>
      <c r="I329" s="9" t="s">
        <v>319</v>
      </c>
      <c r="J329" s="6" t="n">
        <v>1</v>
      </c>
      <c r="K329" s="6" t="s">
        <v>244</v>
      </c>
    </row>
    <row r="330" customFormat="false" ht="23.3" hidden="false" customHeight="false" outlineLevel="0" collapsed="false">
      <c r="A330" s="1" t="s">
        <v>13</v>
      </c>
      <c r="B330" s="1" t="s">
        <v>172</v>
      </c>
      <c r="C330" s="1" t="str">
        <f aca="false">IF(D330="PRE","N/A",
IF(D330="SUP","N/A",
IF(D330="Single-choice",H330,
IF(D330="Single-choice w/ correct",H330,
IF(D330="Series", LEFT(H330,FIND("_",H330)-1) &amp; "_" &amp; MID(H330,FIND("_",H330,FIND("_",H330)+1)+1,999)
)))))</f>
        <v>PWEXP_W127</v>
      </c>
      <c r="D330" s="6" t="s">
        <v>78</v>
      </c>
      <c r="E330" s="7" t="str">
        <f aca="false">IF(D330="PRE","N/A", 
IF(D330="SUP",I330, 
IF(D330="Single-choice",I330, 
IF(D330="Single-choice w/ correct",I330, 
IF(D330="Series", LEFT(I330, FIND("    ",I330)
))))))</f>
        <v>In thinking about how you access your different online accounts, how often do you… </v>
      </c>
      <c r="F330" s="8" t="str">
        <f aca="false">IF(D330="PRE",I330,
IF(D330="SUP",I330,
IF(D330="Single-choice","N/A",
IF(D330="Single-choice w/ correct","N/A",
IF(D330="Series", RIGHT(I330, LEN(I330) - FIND("    ",I330)-3
))))))</f>
        <v>Save passwords in your browser</v>
      </c>
      <c r="G330" s="6" t="s">
        <v>73</v>
      </c>
      <c r="H330" s="10" t="s">
        <v>318</v>
      </c>
      <c r="I330" s="9" t="s">
        <v>319</v>
      </c>
      <c r="J330" s="10" t="n">
        <v>2</v>
      </c>
      <c r="K330" s="10" t="s">
        <v>245</v>
      </c>
    </row>
    <row r="331" customFormat="false" ht="23.3" hidden="false" customHeight="false" outlineLevel="0" collapsed="false">
      <c r="A331" s="1" t="s">
        <v>13</v>
      </c>
      <c r="B331" s="1" t="s">
        <v>172</v>
      </c>
      <c r="C331" s="1" t="str">
        <f aca="false">IF(D331="PRE","N/A",
IF(D331="SUP","N/A",
IF(D331="Single-choice",H331,
IF(D331="Single-choice w/ correct",H331,
IF(D331="Series", LEFT(H331,FIND("_",H331)-1) &amp; "_" &amp; MID(H331,FIND("_",H331,FIND("_",H331)+1)+1,999)
)))))</f>
        <v>PWEXP_W127</v>
      </c>
      <c r="D331" s="6" t="s">
        <v>78</v>
      </c>
      <c r="E331" s="7" t="str">
        <f aca="false">IF(D331="PRE","N/A", 
IF(D331="SUP",I331, 
IF(D331="Single-choice",I331, 
IF(D331="Single-choice w/ correct",I331, 
IF(D331="Series", LEFT(I331, FIND("    ",I331)
))))))</f>
        <v>In thinking about how you access your different online accounts, how often do you… </v>
      </c>
      <c r="F331" s="8" t="str">
        <f aca="false">IF(D331="PRE",I331,
IF(D331="SUP",I331,
IF(D331="Single-choice","N/A",
IF(D331="Single-choice w/ correct","N/A",
IF(D331="Series", RIGHT(I331, LEN(I331) - FIND("    ",I331)-3
))))))</f>
        <v>Save passwords in your browser</v>
      </c>
      <c r="G331" s="6" t="s">
        <v>73</v>
      </c>
      <c r="H331" s="10" t="s">
        <v>318</v>
      </c>
      <c r="I331" s="9" t="s">
        <v>319</v>
      </c>
      <c r="J331" s="10" t="n">
        <v>3</v>
      </c>
      <c r="K331" s="10" t="s">
        <v>246</v>
      </c>
    </row>
    <row r="332" customFormat="false" ht="23.3" hidden="false" customHeight="false" outlineLevel="0" collapsed="false">
      <c r="A332" s="1" t="s">
        <v>13</v>
      </c>
      <c r="B332" s="1" t="s">
        <v>172</v>
      </c>
      <c r="C332" s="1" t="str">
        <f aca="false">IF(D332="PRE","N/A",
IF(D332="SUP","N/A",
IF(D332="Single-choice",H332,
IF(D332="Single-choice w/ correct",H332,
IF(D332="Series", LEFT(H332,FIND("_",H332)-1) &amp; "_" &amp; MID(H332,FIND("_",H332,FIND("_",H332)+1)+1,999)
)))))</f>
        <v>PWEXP_W127</v>
      </c>
      <c r="D332" s="6" t="s">
        <v>78</v>
      </c>
      <c r="E332" s="7" t="str">
        <f aca="false">IF(D332="PRE","N/A", 
IF(D332="SUP",I332, 
IF(D332="Single-choice",I332, 
IF(D332="Single-choice w/ correct",I332, 
IF(D332="Series", LEFT(I332, FIND("    ",I332)
))))))</f>
        <v>In thinking about how you access your different online accounts, how often do you… </v>
      </c>
      <c r="F332" s="8" t="str">
        <f aca="false">IF(D332="PRE",I332,
IF(D332="SUP",I332,
IF(D332="Single-choice","N/A",
IF(D332="Single-choice w/ correct","N/A",
IF(D332="Series", RIGHT(I332, LEN(I332) - FIND("    ",I332)-3
))))))</f>
        <v>Save passwords in your browser</v>
      </c>
      <c r="G332" s="6" t="s">
        <v>73</v>
      </c>
      <c r="H332" s="10" t="s">
        <v>318</v>
      </c>
      <c r="I332" s="9" t="s">
        <v>319</v>
      </c>
      <c r="J332" s="10" t="n">
        <v>4</v>
      </c>
      <c r="K332" s="10" t="s">
        <v>247</v>
      </c>
    </row>
    <row r="333" customFormat="false" ht="23.3" hidden="false" customHeight="false" outlineLevel="0" collapsed="false">
      <c r="A333" s="1" t="s">
        <v>13</v>
      </c>
      <c r="B333" s="1" t="s">
        <v>172</v>
      </c>
      <c r="C333" s="1" t="str">
        <f aca="false">IF(D333="PRE","N/A",
IF(D333="SUP","N/A",
IF(D333="Single-choice",H333,
IF(D333="Single-choice w/ correct",H333,
IF(D333="Series", LEFT(H333,FIND("_",H333)-1) &amp; "_" &amp; MID(H333,FIND("_",H333,FIND("_",H333)+1)+1,999)
)))))</f>
        <v>PWEXP_W127</v>
      </c>
      <c r="D333" s="6" t="s">
        <v>78</v>
      </c>
      <c r="E333" s="7" t="str">
        <f aca="false">IF(D333="PRE","N/A", 
IF(D333="SUP",I333, 
IF(D333="Single-choice",I333, 
IF(D333="Single-choice w/ correct",I333, 
IF(D333="Series", LEFT(I333, FIND("    ",I333)
))))))</f>
        <v>In thinking about how you access your different online accounts, how often do you… </v>
      </c>
      <c r="F333" s="8" t="str">
        <f aca="false">IF(D333="PRE",I333,
IF(D333="SUP",I333,
IF(D333="Single-choice","N/A",
IF(D333="Single-choice w/ correct","N/A",
IF(D333="Series", RIGHT(I333, LEN(I333) - FIND("    ",I333)-3
))))))</f>
        <v>Save passwords in your browser</v>
      </c>
      <c r="G333" s="6" t="s">
        <v>73</v>
      </c>
      <c r="H333" s="10" t="s">
        <v>318</v>
      </c>
      <c r="I333" s="9" t="s">
        <v>319</v>
      </c>
      <c r="J333" s="10" t="n">
        <v>5</v>
      </c>
      <c r="K333" s="10" t="s">
        <v>248</v>
      </c>
    </row>
    <row r="334" customFormat="false" ht="23.3" hidden="false" customHeight="false" outlineLevel="0" collapsed="false">
      <c r="A334" s="1" t="s">
        <v>13</v>
      </c>
      <c r="B334" s="1" t="s">
        <v>172</v>
      </c>
      <c r="C334" s="1" t="str">
        <f aca="false">IF(D334="PRE","N/A",
IF(D334="SUP","N/A",
IF(D334="Single-choice",H334,
IF(D334="Single-choice w/ correct",H334,
IF(D334="Series", LEFT(H334,FIND("_",H334)-1) &amp; "_" &amp; MID(H334,FIND("_",H334,FIND("_",H334)+1)+1,999)
)))))</f>
        <v>PWEXP_W127</v>
      </c>
      <c r="D334" s="6" t="s">
        <v>78</v>
      </c>
      <c r="E334" s="7" t="str">
        <f aca="false">IF(D334="PRE","N/A", 
IF(D334="SUP",I334, 
IF(D334="Single-choice",I334, 
IF(D334="Single-choice w/ correct",I334, 
IF(D334="Series", LEFT(I334, FIND("    ",I334)
))))))</f>
        <v>In thinking about how you access your different online accounts, how often do you… </v>
      </c>
      <c r="F334" s="8" t="str">
        <f aca="false">IF(D334="PRE",I334,
IF(D334="SUP",I334,
IF(D334="Single-choice","N/A",
IF(D334="Single-choice w/ correct","N/A",
IF(D334="Series", RIGHT(I334, LEN(I334) - FIND("    ",I334)-3
))))))</f>
        <v>Save passwords in your browser</v>
      </c>
      <c r="G334" s="6" t="s">
        <v>73</v>
      </c>
      <c r="H334" s="10" t="s">
        <v>318</v>
      </c>
      <c r="I334" s="9" t="s">
        <v>319</v>
      </c>
      <c r="J334" s="10" t="n">
        <v>99</v>
      </c>
      <c r="K334" s="10" t="s">
        <v>64</v>
      </c>
    </row>
    <row r="335" customFormat="false" ht="15" hidden="false" customHeight="true" outlineLevel="0" collapsed="false">
      <c r="A335" s="1" t="s">
        <v>13</v>
      </c>
      <c r="B335" s="1" t="s">
        <v>172</v>
      </c>
      <c r="C335" s="1" t="str">
        <f aca="false">IF(D335="PRE","N/A",
IF(D335="SUP","N/A",
IF(D335="Single-choice",H335,
IF(D335="Single-choice w/ correct",H335,
IF(D335="Series", LEFT(H335,FIND("_",H335)-1) &amp; "_" &amp; MID(H335,FIND("_",H335,FIND("_",H335)+1)+1,999)
)))))</f>
        <v>PWEXP_W127</v>
      </c>
      <c r="D335" s="6" t="s">
        <v>78</v>
      </c>
      <c r="E335" s="7" t="str">
        <f aca="false">IF(D335="PRE","N/A", 
IF(D335="SUP",I335, 
IF(D335="Single-choice",I335, 
IF(D335="Single-choice w/ correct",I335, 
IF(D335="Series", LEFT(I335, FIND("    ",I335)
))))))</f>
        <v>In thinking about how you access your different online accounts, how often do you… </v>
      </c>
      <c r="F335" s="8" t="str">
        <f aca="false">IF(D335="PRE",I335,
IF(D335="SUP",I335,
IF(D335="Single-choice","N/A",
IF(D335="Single-choice w/ correct","N/A",
IF(D335="Series", RIGHT(I335, LEN(I335) - FIND("    ",I335)-3
))))))</f>
        <v>Write your passwords down</v>
      </c>
      <c r="G335" s="6" t="s">
        <v>73</v>
      </c>
      <c r="H335" s="6" t="s">
        <v>320</v>
      </c>
      <c r="I335" s="9" t="s">
        <v>321</v>
      </c>
      <c r="J335" s="6" t="n">
        <v>1</v>
      </c>
      <c r="K335" s="6" t="s">
        <v>244</v>
      </c>
    </row>
    <row r="336" customFormat="false" ht="23.3" hidden="false" customHeight="false" outlineLevel="0" collapsed="false">
      <c r="A336" s="1" t="s">
        <v>13</v>
      </c>
      <c r="B336" s="1" t="s">
        <v>172</v>
      </c>
      <c r="C336" s="1" t="str">
        <f aca="false">IF(D336="PRE","N/A",
IF(D336="SUP","N/A",
IF(D336="Single-choice",H336,
IF(D336="Single-choice w/ correct",H336,
IF(D336="Series", LEFT(H336,FIND("_",H336)-1) &amp; "_" &amp; MID(H336,FIND("_",H336,FIND("_",H336)+1)+1,999)
)))))</f>
        <v>PWEXP_W127</v>
      </c>
      <c r="D336" s="6" t="s">
        <v>78</v>
      </c>
      <c r="E336" s="7" t="str">
        <f aca="false">IF(D336="PRE","N/A", 
IF(D336="SUP",I336, 
IF(D336="Single-choice",I336, 
IF(D336="Single-choice w/ correct",I336, 
IF(D336="Series", LEFT(I336, FIND("    ",I336)
))))))</f>
        <v>In thinking about how you access your different online accounts, how often do you… </v>
      </c>
      <c r="F336" s="8" t="str">
        <f aca="false">IF(D336="PRE",I336,
IF(D336="SUP",I336,
IF(D336="Single-choice","N/A",
IF(D336="Single-choice w/ correct","N/A",
IF(D336="Series", RIGHT(I336, LEN(I336) - FIND("    ",I336)-3
))))))</f>
        <v>Write your passwords down</v>
      </c>
      <c r="G336" s="6" t="s">
        <v>73</v>
      </c>
      <c r="H336" s="10" t="s">
        <v>320</v>
      </c>
      <c r="I336" s="9" t="s">
        <v>321</v>
      </c>
      <c r="J336" s="10" t="n">
        <v>2</v>
      </c>
      <c r="K336" s="10" t="s">
        <v>245</v>
      </c>
    </row>
    <row r="337" customFormat="false" ht="23.3" hidden="false" customHeight="false" outlineLevel="0" collapsed="false">
      <c r="A337" s="1" t="s">
        <v>13</v>
      </c>
      <c r="B337" s="1" t="s">
        <v>172</v>
      </c>
      <c r="C337" s="1" t="str">
        <f aca="false">IF(D337="PRE","N/A",
IF(D337="SUP","N/A",
IF(D337="Single-choice",H337,
IF(D337="Single-choice w/ correct",H337,
IF(D337="Series", LEFT(H337,FIND("_",H337)-1) &amp; "_" &amp; MID(H337,FIND("_",H337,FIND("_",H337)+1)+1,999)
)))))</f>
        <v>PWEXP_W127</v>
      </c>
      <c r="D337" s="6" t="s">
        <v>78</v>
      </c>
      <c r="E337" s="7" t="str">
        <f aca="false">IF(D337="PRE","N/A", 
IF(D337="SUP",I337, 
IF(D337="Single-choice",I337, 
IF(D337="Single-choice w/ correct",I337, 
IF(D337="Series", LEFT(I337, FIND("    ",I337)
))))))</f>
        <v>In thinking about how you access your different online accounts, how often do you… </v>
      </c>
      <c r="F337" s="8" t="str">
        <f aca="false">IF(D337="PRE",I337,
IF(D337="SUP",I337,
IF(D337="Single-choice","N/A",
IF(D337="Single-choice w/ correct","N/A",
IF(D337="Series", RIGHT(I337, LEN(I337) - FIND("    ",I337)-3
))))))</f>
        <v>Write your passwords down</v>
      </c>
      <c r="G337" s="6" t="s">
        <v>73</v>
      </c>
      <c r="H337" s="10" t="s">
        <v>320</v>
      </c>
      <c r="I337" s="9" t="s">
        <v>321</v>
      </c>
      <c r="J337" s="10" t="n">
        <v>3</v>
      </c>
      <c r="K337" s="10" t="s">
        <v>246</v>
      </c>
    </row>
    <row r="338" customFormat="false" ht="23.3" hidden="false" customHeight="false" outlineLevel="0" collapsed="false">
      <c r="A338" s="1" t="s">
        <v>13</v>
      </c>
      <c r="B338" s="1" t="s">
        <v>172</v>
      </c>
      <c r="C338" s="1" t="str">
        <f aca="false">IF(D338="PRE","N/A",
IF(D338="SUP","N/A",
IF(D338="Single-choice",H338,
IF(D338="Single-choice w/ correct",H338,
IF(D338="Series", LEFT(H338,FIND("_",H338)-1) &amp; "_" &amp; MID(H338,FIND("_",H338,FIND("_",H338)+1)+1,999)
)))))</f>
        <v>PWEXP_W127</v>
      </c>
      <c r="D338" s="6" t="s">
        <v>78</v>
      </c>
      <c r="E338" s="7" t="str">
        <f aca="false">IF(D338="PRE","N/A", 
IF(D338="SUP",I338, 
IF(D338="Single-choice",I338, 
IF(D338="Single-choice w/ correct",I338, 
IF(D338="Series", LEFT(I338, FIND("    ",I338)
))))))</f>
        <v>In thinking about how you access your different online accounts, how often do you… </v>
      </c>
      <c r="F338" s="8" t="str">
        <f aca="false">IF(D338="PRE",I338,
IF(D338="SUP",I338,
IF(D338="Single-choice","N/A",
IF(D338="Single-choice w/ correct","N/A",
IF(D338="Series", RIGHT(I338, LEN(I338) - FIND("    ",I338)-3
))))))</f>
        <v>Write your passwords down</v>
      </c>
      <c r="G338" s="6" t="s">
        <v>73</v>
      </c>
      <c r="H338" s="10" t="s">
        <v>320</v>
      </c>
      <c r="I338" s="9" t="s">
        <v>321</v>
      </c>
      <c r="J338" s="10" t="n">
        <v>4</v>
      </c>
      <c r="K338" s="10" t="s">
        <v>247</v>
      </c>
    </row>
    <row r="339" customFormat="false" ht="23.3" hidden="false" customHeight="false" outlineLevel="0" collapsed="false">
      <c r="A339" s="1" t="s">
        <v>13</v>
      </c>
      <c r="B339" s="1" t="s">
        <v>172</v>
      </c>
      <c r="C339" s="1" t="str">
        <f aca="false">IF(D339="PRE","N/A",
IF(D339="SUP","N/A",
IF(D339="Single-choice",H339,
IF(D339="Single-choice w/ correct",H339,
IF(D339="Series", LEFT(H339,FIND("_",H339)-1) &amp; "_" &amp; MID(H339,FIND("_",H339,FIND("_",H339)+1)+1,999)
)))))</f>
        <v>PWEXP_W127</v>
      </c>
      <c r="D339" s="6" t="s">
        <v>78</v>
      </c>
      <c r="E339" s="7" t="str">
        <f aca="false">IF(D339="PRE","N/A", 
IF(D339="SUP",I339, 
IF(D339="Single-choice",I339, 
IF(D339="Single-choice w/ correct",I339, 
IF(D339="Series", LEFT(I339, FIND("    ",I339)
))))))</f>
        <v>In thinking about how you access your different online accounts, how often do you… </v>
      </c>
      <c r="F339" s="8" t="str">
        <f aca="false">IF(D339="PRE",I339,
IF(D339="SUP",I339,
IF(D339="Single-choice","N/A",
IF(D339="Single-choice w/ correct","N/A",
IF(D339="Series", RIGHT(I339, LEN(I339) - FIND("    ",I339)-3
))))))</f>
        <v>Write your passwords down</v>
      </c>
      <c r="G339" s="6" t="s">
        <v>73</v>
      </c>
      <c r="H339" s="10" t="s">
        <v>320</v>
      </c>
      <c r="I339" s="9" t="s">
        <v>321</v>
      </c>
      <c r="J339" s="10" t="n">
        <v>5</v>
      </c>
      <c r="K339" s="10" t="s">
        <v>248</v>
      </c>
    </row>
    <row r="340" customFormat="false" ht="23.3" hidden="false" customHeight="false" outlineLevel="0" collapsed="false">
      <c r="A340" s="1" t="s">
        <v>13</v>
      </c>
      <c r="B340" s="1" t="s">
        <v>172</v>
      </c>
      <c r="C340" s="1" t="str">
        <f aca="false">IF(D340="PRE","N/A",
IF(D340="SUP","N/A",
IF(D340="Single-choice",H340,
IF(D340="Single-choice w/ correct",H340,
IF(D340="Series", LEFT(H340,FIND("_",H340)-1) &amp; "_" &amp; MID(H340,FIND("_",H340,FIND("_",H340)+1)+1,999)
)))))</f>
        <v>PWEXP_W127</v>
      </c>
      <c r="D340" s="6" t="s">
        <v>78</v>
      </c>
      <c r="E340" s="7" t="str">
        <f aca="false">IF(D340="PRE","N/A", 
IF(D340="SUP",I340, 
IF(D340="Single-choice",I340, 
IF(D340="Single-choice w/ correct",I340, 
IF(D340="Series", LEFT(I340, FIND("    ",I340)
))))))</f>
        <v>In thinking about how you access your different online accounts, how often do you… </v>
      </c>
      <c r="F340" s="8" t="str">
        <f aca="false">IF(D340="PRE",I340,
IF(D340="SUP",I340,
IF(D340="Single-choice","N/A",
IF(D340="Single-choice w/ correct","N/A",
IF(D340="Series", RIGHT(I340, LEN(I340) - FIND("    ",I340)-3
))))))</f>
        <v>Write your passwords down</v>
      </c>
      <c r="G340" s="6" t="s">
        <v>73</v>
      </c>
      <c r="H340" s="10" t="s">
        <v>320</v>
      </c>
      <c r="I340" s="9" t="s">
        <v>321</v>
      </c>
      <c r="J340" s="10" t="n">
        <v>99</v>
      </c>
      <c r="K340" s="10" t="s">
        <v>64</v>
      </c>
    </row>
    <row r="341" customFormat="false" ht="15" hidden="false" customHeight="true" outlineLevel="0" collapsed="false">
      <c r="A341" s="1" t="s">
        <v>13</v>
      </c>
      <c r="B341" s="1" t="s">
        <v>172</v>
      </c>
      <c r="C341" s="1" t="str">
        <f aca="false">IF(D341="PRE","N/A",
IF(D341="SUP","N/A",
IF(D341="Single-choice",H341,
IF(D341="Single-choice w/ correct",H341,
IF(D341="Series", LEFT(H341,FIND("_",H341)-1) &amp; "_" &amp; MID(H341,FIND("_",H341,FIND("_",H341)+1)+1,999)
)))))</f>
        <v>SPACCESS_W127</v>
      </c>
      <c r="D341" s="6" t="s">
        <v>55</v>
      </c>
      <c r="E341" s="7" t="str">
        <f aca="false">IF(D341="PRE","N/A", 
IF(D341="SUP",I341, 
IF(D341="Single-choice",I341, 
IF(D341="Single-choice w/ correct",I341, 
IF(D341="Series", LEFT(I341, FIND("    ",I341)
))))))</f>
        <v>Do you use a passcode, fingerprint, face recognition, or other security feature to unlock your smartphone?</v>
      </c>
      <c r="F341" s="8" t="str">
        <f aca="false">IF(D341="PRE",I341,
IF(D341="SUP",I341,
IF(D341="Single-choice","N/A",
IF(D341="Single-choice w/ correct","N/A",
IF(D341="Series", RIGHT(I341, LEN(I341) - FIND("    ",I341)-3
))))))</f>
        <v>N/A</v>
      </c>
      <c r="G341" s="6" t="s">
        <v>322</v>
      </c>
      <c r="H341" s="6" t="s">
        <v>323</v>
      </c>
      <c r="I341" s="9" t="s">
        <v>324</v>
      </c>
      <c r="J341" s="6" t="n">
        <v>1</v>
      </c>
      <c r="K341" s="6" t="s">
        <v>175</v>
      </c>
    </row>
    <row r="342" customFormat="false" ht="23.3" hidden="false" customHeight="false" outlineLevel="0" collapsed="false">
      <c r="A342" s="1" t="s">
        <v>13</v>
      </c>
      <c r="B342" s="1" t="s">
        <v>172</v>
      </c>
      <c r="C342" s="1" t="str">
        <f aca="false">IF(D342="PRE","N/A",
IF(D342="SUP","N/A",
IF(D342="Single-choice",H342,
IF(D342="Single-choice w/ correct",H342,
IF(D342="Series", LEFT(H342,FIND("_",H342)-1) &amp; "_" &amp; MID(H342,FIND("_",H342,FIND("_",H342)+1)+1,999)
)))))</f>
        <v>SPACCESS_W127</v>
      </c>
      <c r="D342" s="6" t="s">
        <v>55</v>
      </c>
      <c r="E342" s="7" t="str">
        <f aca="false">IF(D342="PRE","N/A", 
IF(D342="SUP",I342, 
IF(D342="Single-choice",I342, 
IF(D342="Single-choice w/ correct",I342, 
IF(D342="Series", LEFT(I342, FIND("    ",I342)
))))))</f>
        <v>Do you use a passcode, fingerprint, face recognition, or other security feature to unlock your smartphone?</v>
      </c>
      <c r="F342" s="8" t="str">
        <f aca="false">IF(D342="PRE",I342,
IF(D342="SUP",I342,
IF(D342="Single-choice","N/A",
IF(D342="Single-choice w/ correct","N/A",
IF(D342="Series", RIGHT(I342, LEN(I342) - FIND("    ",I342)-3
))))))</f>
        <v>N/A</v>
      </c>
      <c r="G342" s="6" t="s">
        <v>322</v>
      </c>
      <c r="H342" s="10" t="s">
        <v>323</v>
      </c>
      <c r="I342" s="9" t="s">
        <v>324</v>
      </c>
      <c r="J342" s="10" t="n">
        <v>2</v>
      </c>
      <c r="K342" s="10" t="s">
        <v>176</v>
      </c>
    </row>
    <row r="343" customFormat="false" ht="23.3" hidden="false" customHeight="false" outlineLevel="0" collapsed="false">
      <c r="A343" s="1" t="s">
        <v>13</v>
      </c>
      <c r="B343" s="1" t="s">
        <v>172</v>
      </c>
      <c r="C343" s="1" t="str">
        <f aca="false">IF(D343="PRE","N/A",
IF(D343="SUP","N/A",
IF(D343="Single-choice",H343,
IF(D343="Single-choice w/ correct",H343,
IF(D343="Series", LEFT(H343,FIND("_",H343)-1) &amp; "_" &amp; MID(H343,FIND("_",H343,FIND("_",H343)+1)+1,999)
)))))</f>
        <v>SPACCESS_W127</v>
      </c>
      <c r="D343" s="6" t="s">
        <v>55</v>
      </c>
      <c r="E343" s="7" t="str">
        <f aca="false">IF(D343="PRE","N/A", 
IF(D343="SUP",I343, 
IF(D343="Single-choice",I343, 
IF(D343="Single-choice w/ correct",I343, 
IF(D343="Series", LEFT(I343, FIND("    ",I343)
))))))</f>
        <v>Do you use a passcode, fingerprint, face recognition, or other security feature to unlock your smartphone?</v>
      </c>
      <c r="F343" s="8" t="str">
        <f aca="false">IF(D343="PRE",I343,
IF(D343="SUP",I343,
IF(D343="Single-choice","N/A",
IF(D343="Single-choice w/ correct","N/A",
IF(D343="Series", RIGHT(I343, LEN(I343) - FIND("    ",I343)-3
))))))</f>
        <v>N/A</v>
      </c>
      <c r="G343" s="6" t="s">
        <v>322</v>
      </c>
      <c r="H343" s="10" t="s">
        <v>323</v>
      </c>
      <c r="I343" s="9" t="s">
        <v>324</v>
      </c>
      <c r="J343" s="10" t="n">
        <v>99</v>
      </c>
      <c r="K343" s="10" t="s">
        <v>64</v>
      </c>
    </row>
    <row r="344" customFormat="false" ht="15" hidden="false" customHeight="true" outlineLevel="0" collapsed="false">
      <c r="A344" s="1" t="s">
        <v>13</v>
      </c>
      <c r="B344" s="1" t="s">
        <v>172</v>
      </c>
      <c r="C344" s="1" t="str">
        <f aca="false">IF(D344="PRE","N/A",
IF(D344="SUP","N/A",
IF(D344="Single-choice",H344,
IF(D344="Single-choice w/ correct",H344,
IF(D344="Series", LEFT(H344,FIND("_",H344)-1) &amp; "_" &amp; MID(H344,FIND("_",H344,FIND("_",H344)+1)+1,999)
)))))</f>
        <v>UPDATEPREF_W127</v>
      </c>
      <c r="D344" s="6" t="s">
        <v>78</v>
      </c>
      <c r="E344" s="7" t="str">
        <f aca="false">IF(D344="PRE","N/A", 
IF(D344="SUP",I344, 
IF(D344="Single-choice",I344, 
IF(D344="Single-choice w/ correct",I344, 
IF(D344="Series", LEFT(I344, FIND("    ",I344)
))))))</f>
        <v>How do you typically handle software updates for each of the following? </v>
      </c>
      <c r="F344" s="8" t="str">
        <f aca="false">IF(D344="PRE",I344,
IF(D344="SUP",I344,
IF(D344="Single-choice","N/A",
IF(D344="Single-choice w/ correct","N/A",
IF(D344="Series", RIGHT(I344, LEN(I344) - FIND("    ",I344)-3
))))))</f>
        <v>Your smartphone operating system</v>
      </c>
      <c r="G344" s="6" t="s">
        <v>322</v>
      </c>
      <c r="H344" s="6" t="s">
        <v>325</v>
      </c>
      <c r="I344" s="9" t="s">
        <v>326</v>
      </c>
      <c r="J344" s="6" t="n">
        <v>1</v>
      </c>
      <c r="K344" s="6" t="s">
        <v>327</v>
      </c>
    </row>
    <row r="345" customFormat="false" ht="23.3" hidden="false" customHeight="false" outlineLevel="0" collapsed="false">
      <c r="A345" s="1" t="s">
        <v>13</v>
      </c>
      <c r="B345" s="1" t="s">
        <v>172</v>
      </c>
      <c r="C345" s="1" t="str">
        <f aca="false">IF(D345="PRE","N/A",
IF(D345="SUP","N/A",
IF(D345="Single-choice",H345,
IF(D345="Single-choice w/ correct",H345,
IF(D345="Series", LEFT(H345,FIND("_",H345)-1) &amp; "_" &amp; MID(H345,FIND("_",H345,FIND("_",H345)+1)+1,999)
)))))</f>
        <v>UPDATEPREF_W127</v>
      </c>
      <c r="D345" s="6" t="s">
        <v>78</v>
      </c>
      <c r="E345" s="7" t="str">
        <f aca="false">IF(D345="PRE","N/A", 
IF(D345="SUP",I345, 
IF(D345="Single-choice",I345, 
IF(D345="Single-choice w/ correct",I345, 
IF(D345="Series", LEFT(I345, FIND("    ",I345)
))))))</f>
        <v>How do you typically handle software updates for each of the following? </v>
      </c>
      <c r="F345" s="8" t="str">
        <f aca="false">IF(D345="PRE",I345,
IF(D345="SUP",I345,
IF(D345="Single-choice","N/A",
IF(D345="Single-choice w/ correct","N/A",
IF(D345="Series", RIGHT(I345, LEN(I345) - FIND("    ",I345)-3
))))))</f>
        <v>Your smartphone operating system</v>
      </c>
      <c r="G345" s="6" t="s">
        <v>322</v>
      </c>
      <c r="H345" s="10" t="s">
        <v>325</v>
      </c>
      <c r="I345" s="9" t="s">
        <v>326</v>
      </c>
      <c r="J345" s="10" t="n">
        <v>2</v>
      </c>
      <c r="K345" s="10" t="s">
        <v>328</v>
      </c>
    </row>
    <row r="346" customFormat="false" ht="23.3" hidden="false" customHeight="false" outlineLevel="0" collapsed="false">
      <c r="A346" s="1" t="s">
        <v>13</v>
      </c>
      <c r="B346" s="1" t="s">
        <v>172</v>
      </c>
      <c r="C346" s="1" t="str">
        <f aca="false">IF(D346="PRE","N/A",
IF(D346="SUP","N/A",
IF(D346="Single-choice",H346,
IF(D346="Single-choice w/ correct",H346,
IF(D346="Series", LEFT(H346,FIND("_",H346)-1) &amp; "_" &amp; MID(H346,FIND("_",H346,FIND("_",H346)+1)+1,999)
)))))</f>
        <v>UPDATEPREF_W127</v>
      </c>
      <c r="D346" s="6" t="s">
        <v>78</v>
      </c>
      <c r="E346" s="7" t="str">
        <f aca="false">IF(D346="PRE","N/A", 
IF(D346="SUP",I346, 
IF(D346="Single-choice",I346, 
IF(D346="Single-choice w/ correct",I346, 
IF(D346="Series", LEFT(I346, FIND("    ",I346)
))))))</f>
        <v>How do you typically handle software updates for each of the following? </v>
      </c>
      <c r="F346" s="8" t="str">
        <f aca="false">IF(D346="PRE",I346,
IF(D346="SUP",I346,
IF(D346="Single-choice","N/A",
IF(D346="Single-choice w/ correct","N/A",
IF(D346="Series", RIGHT(I346, LEN(I346) - FIND("    ",I346)-3
))))))</f>
        <v>Your smartphone operating system</v>
      </c>
      <c r="G346" s="6" t="s">
        <v>322</v>
      </c>
      <c r="H346" s="10" t="s">
        <v>325</v>
      </c>
      <c r="I346" s="9" t="s">
        <v>326</v>
      </c>
      <c r="J346" s="10" t="n">
        <v>3</v>
      </c>
      <c r="K346" s="10" t="s">
        <v>329</v>
      </c>
    </row>
    <row r="347" customFormat="false" ht="23.3" hidden="false" customHeight="false" outlineLevel="0" collapsed="false">
      <c r="A347" s="1" t="s">
        <v>13</v>
      </c>
      <c r="B347" s="1" t="s">
        <v>172</v>
      </c>
      <c r="C347" s="1" t="str">
        <f aca="false">IF(D347="PRE","N/A",
IF(D347="SUP","N/A",
IF(D347="Single-choice",H347,
IF(D347="Single-choice w/ correct",H347,
IF(D347="Series", LEFT(H347,FIND("_",H347)-1) &amp; "_" &amp; MID(H347,FIND("_",H347,FIND("_",H347)+1)+1,999)
)))))</f>
        <v>UPDATEPREF_W127</v>
      </c>
      <c r="D347" s="6" t="s">
        <v>78</v>
      </c>
      <c r="E347" s="7" t="str">
        <f aca="false">IF(D347="PRE","N/A", 
IF(D347="SUP",I347, 
IF(D347="Single-choice",I347, 
IF(D347="Single-choice w/ correct",I347, 
IF(D347="Series", LEFT(I347, FIND("    ",I347)
))))))</f>
        <v>How do you typically handle software updates for each of the following? </v>
      </c>
      <c r="F347" s="8" t="str">
        <f aca="false">IF(D347="PRE",I347,
IF(D347="SUP",I347,
IF(D347="Single-choice","N/A",
IF(D347="Single-choice w/ correct","N/A",
IF(D347="Series", RIGHT(I347, LEN(I347) - FIND("    ",I347)-3
))))))</f>
        <v>Your smartphone operating system</v>
      </c>
      <c r="G347" s="6" t="s">
        <v>322</v>
      </c>
      <c r="H347" s="10" t="s">
        <v>325</v>
      </c>
      <c r="I347" s="9" t="s">
        <v>326</v>
      </c>
      <c r="J347" s="10" t="n">
        <v>4</v>
      </c>
      <c r="K347" s="10" t="s">
        <v>330</v>
      </c>
    </row>
    <row r="348" customFormat="false" ht="23.3" hidden="false" customHeight="false" outlineLevel="0" collapsed="false">
      <c r="A348" s="1" t="s">
        <v>13</v>
      </c>
      <c r="B348" s="1" t="s">
        <v>172</v>
      </c>
      <c r="C348" s="1" t="str">
        <f aca="false">IF(D348="PRE","N/A",
IF(D348="SUP","N/A",
IF(D348="Single-choice",H348,
IF(D348="Single-choice w/ correct",H348,
IF(D348="Series", LEFT(H348,FIND("_",H348)-1) &amp; "_" &amp; MID(H348,FIND("_",H348,FIND("_",H348)+1)+1,999)
)))))</f>
        <v>UPDATEPREF_W127</v>
      </c>
      <c r="D348" s="6" t="s">
        <v>78</v>
      </c>
      <c r="E348" s="7" t="str">
        <f aca="false">IF(D348="PRE","N/A", 
IF(D348="SUP",I348, 
IF(D348="Single-choice",I348, 
IF(D348="Single-choice w/ correct",I348, 
IF(D348="Series", LEFT(I348, FIND("    ",I348)
))))))</f>
        <v>How do you typically handle software updates for each of the following? </v>
      </c>
      <c r="F348" s="8" t="str">
        <f aca="false">IF(D348="PRE",I348,
IF(D348="SUP",I348,
IF(D348="Single-choice","N/A",
IF(D348="Single-choice w/ correct","N/A",
IF(D348="Series", RIGHT(I348, LEN(I348) - FIND("    ",I348)-3
))))))</f>
        <v>Your smartphone operating system</v>
      </c>
      <c r="G348" s="6" t="s">
        <v>322</v>
      </c>
      <c r="H348" s="10" t="s">
        <v>325</v>
      </c>
      <c r="I348" s="9" t="s">
        <v>326</v>
      </c>
      <c r="J348" s="10" t="n">
        <v>99</v>
      </c>
      <c r="K348" s="10" t="s">
        <v>64</v>
      </c>
    </row>
    <row r="349" customFormat="false" ht="15" hidden="false" customHeight="true" outlineLevel="0" collapsed="false">
      <c r="A349" s="1" t="s">
        <v>13</v>
      </c>
      <c r="B349" s="1" t="s">
        <v>172</v>
      </c>
      <c r="C349" s="1" t="str">
        <f aca="false">IF(D349="PRE","N/A",
IF(D349="SUP","N/A",
IF(D349="Single-choice",H349,
IF(D349="Single-choice w/ correct",H349,
IF(D349="Series", LEFT(H349,FIND("_",H349)-1) &amp; "_" &amp; MID(H349,FIND("_",H349,FIND("_",H349)+1)+1,999)
)))))</f>
        <v>UPDATEPREF_W127</v>
      </c>
      <c r="D349" s="6" t="s">
        <v>78</v>
      </c>
      <c r="E349" s="7" t="str">
        <f aca="false">IF(D349="PRE","N/A", 
IF(D349="SUP",I349, 
IF(D349="Single-choice",I349, 
IF(D349="Single-choice w/ correct",I349, 
IF(D349="Series", LEFT(I349, FIND("    ",I349)
))))))</f>
        <v>How do you typically handle software updates for each of the following? </v>
      </c>
      <c r="F349" s="8" t="str">
        <f aca="false">IF(D349="PRE",I349,
IF(D349="SUP",I349,
IF(D349="Single-choice","N/A",
IF(D349="Single-choice w/ correct","N/A",
IF(D349="Series", RIGHT(I349, LEN(I349) - FIND("    ",I349)-3
))))))</f>
        <v>Specific apps on your smartphone</v>
      </c>
      <c r="G349" s="6" t="s">
        <v>322</v>
      </c>
      <c r="H349" s="6" t="s">
        <v>331</v>
      </c>
      <c r="I349" s="9" t="s">
        <v>332</v>
      </c>
      <c r="J349" s="6" t="n">
        <v>1</v>
      </c>
      <c r="K349" s="6" t="s">
        <v>327</v>
      </c>
    </row>
    <row r="350" customFormat="false" ht="23.3" hidden="false" customHeight="false" outlineLevel="0" collapsed="false">
      <c r="A350" s="1" t="s">
        <v>13</v>
      </c>
      <c r="B350" s="1" t="s">
        <v>172</v>
      </c>
      <c r="C350" s="1" t="str">
        <f aca="false">IF(D350="PRE","N/A",
IF(D350="SUP","N/A",
IF(D350="Single-choice",H350,
IF(D350="Single-choice w/ correct",H350,
IF(D350="Series", LEFT(H350,FIND("_",H350)-1) &amp; "_" &amp; MID(H350,FIND("_",H350,FIND("_",H350)+1)+1,999)
)))))</f>
        <v>UPDATEPREF_W127</v>
      </c>
      <c r="D350" s="6" t="s">
        <v>78</v>
      </c>
      <c r="E350" s="7" t="str">
        <f aca="false">IF(D350="PRE","N/A", 
IF(D350="SUP",I350, 
IF(D350="Single-choice",I350, 
IF(D350="Single-choice w/ correct",I350, 
IF(D350="Series", LEFT(I350, FIND("    ",I350)
))))))</f>
        <v>How do you typically handle software updates for each of the following? </v>
      </c>
      <c r="F350" s="8" t="str">
        <f aca="false">IF(D350="PRE",I350,
IF(D350="SUP",I350,
IF(D350="Single-choice","N/A",
IF(D350="Single-choice w/ correct","N/A",
IF(D350="Series", RIGHT(I350, LEN(I350) - FIND("    ",I350)-3
))))))</f>
        <v>Specific apps on your smartphone</v>
      </c>
      <c r="G350" s="6" t="s">
        <v>322</v>
      </c>
      <c r="H350" s="10" t="s">
        <v>331</v>
      </c>
      <c r="I350" s="9" t="s">
        <v>332</v>
      </c>
      <c r="J350" s="10" t="n">
        <v>2</v>
      </c>
      <c r="K350" s="10" t="s">
        <v>328</v>
      </c>
    </row>
    <row r="351" customFormat="false" ht="23.3" hidden="false" customHeight="false" outlineLevel="0" collapsed="false">
      <c r="A351" s="1" t="s">
        <v>13</v>
      </c>
      <c r="B351" s="1" t="s">
        <v>172</v>
      </c>
      <c r="C351" s="1" t="str">
        <f aca="false">IF(D351="PRE","N/A",
IF(D351="SUP","N/A",
IF(D351="Single-choice",H351,
IF(D351="Single-choice w/ correct",H351,
IF(D351="Series", LEFT(H351,FIND("_",H351)-1) &amp; "_" &amp; MID(H351,FIND("_",H351,FIND("_",H351)+1)+1,999)
)))))</f>
        <v>UPDATEPREF_W127</v>
      </c>
      <c r="D351" s="6" t="s">
        <v>78</v>
      </c>
      <c r="E351" s="7" t="str">
        <f aca="false">IF(D351="PRE","N/A", 
IF(D351="SUP",I351, 
IF(D351="Single-choice",I351, 
IF(D351="Single-choice w/ correct",I351, 
IF(D351="Series", LEFT(I351, FIND("    ",I351)
))))))</f>
        <v>How do you typically handle software updates for each of the following? </v>
      </c>
      <c r="F351" s="8" t="str">
        <f aca="false">IF(D351="PRE",I351,
IF(D351="SUP",I351,
IF(D351="Single-choice","N/A",
IF(D351="Single-choice w/ correct","N/A",
IF(D351="Series", RIGHT(I351, LEN(I351) - FIND("    ",I351)-3
))))))</f>
        <v>Specific apps on your smartphone</v>
      </c>
      <c r="G351" s="6" t="s">
        <v>322</v>
      </c>
      <c r="H351" s="10" t="s">
        <v>331</v>
      </c>
      <c r="I351" s="9" t="s">
        <v>332</v>
      </c>
      <c r="J351" s="10" t="n">
        <v>3</v>
      </c>
      <c r="K351" s="10" t="s">
        <v>329</v>
      </c>
    </row>
    <row r="352" customFormat="false" ht="23.3" hidden="false" customHeight="false" outlineLevel="0" collapsed="false">
      <c r="A352" s="1" t="s">
        <v>13</v>
      </c>
      <c r="B352" s="1" t="s">
        <v>172</v>
      </c>
      <c r="C352" s="1" t="str">
        <f aca="false">IF(D352="PRE","N/A",
IF(D352="SUP","N/A",
IF(D352="Single-choice",H352,
IF(D352="Single-choice w/ correct",H352,
IF(D352="Series", LEFT(H352,FIND("_",H352)-1) &amp; "_" &amp; MID(H352,FIND("_",H352,FIND("_",H352)+1)+1,999)
)))))</f>
        <v>UPDATEPREF_W127</v>
      </c>
      <c r="D352" s="6" t="s">
        <v>78</v>
      </c>
      <c r="E352" s="7" t="str">
        <f aca="false">IF(D352="PRE","N/A", 
IF(D352="SUP",I352, 
IF(D352="Single-choice",I352, 
IF(D352="Single-choice w/ correct",I352, 
IF(D352="Series", LEFT(I352, FIND("    ",I352)
))))))</f>
        <v>How do you typically handle software updates for each of the following? </v>
      </c>
      <c r="F352" s="8" t="str">
        <f aca="false">IF(D352="PRE",I352,
IF(D352="SUP",I352,
IF(D352="Single-choice","N/A",
IF(D352="Single-choice w/ correct","N/A",
IF(D352="Series", RIGHT(I352, LEN(I352) - FIND("    ",I352)-3
))))))</f>
        <v>Specific apps on your smartphone</v>
      </c>
      <c r="G352" s="6" t="s">
        <v>322</v>
      </c>
      <c r="H352" s="10" t="s">
        <v>331</v>
      </c>
      <c r="I352" s="9" t="s">
        <v>332</v>
      </c>
      <c r="J352" s="10" t="n">
        <v>4</v>
      </c>
      <c r="K352" s="10" t="s">
        <v>330</v>
      </c>
    </row>
    <row r="353" customFormat="false" ht="23.3" hidden="false" customHeight="false" outlineLevel="0" collapsed="false">
      <c r="A353" s="1" t="s">
        <v>13</v>
      </c>
      <c r="B353" s="1" t="s">
        <v>172</v>
      </c>
      <c r="C353" s="1" t="str">
        <f aca="false">IF(D353="PRE","N/A",
IF(D353="SUP","N/A",
IF(D353="Single-choice",H353,
IF(D353="Single-choice w/ correct",H353,
IF(D353="Series", LEFT(H353,FIND("_",H353)-1) &amp; "_" &amp; MID(H353,FIND("_",H353,FIND("_",H353)+1)+1,999)
)))))</f>
        <v>UPDATEPREF_W127</v>
      </c>
      <c r="D353" s="6" t="s">
        <v>78</v>
      </c>
      <c r="E353" s="7" t="str">
        <f aca="false">IF(D353="PRE","N/A", 
IF(D353="SUP",I353, 
IF(D353="Single-choice",I353, 
IF(D353="Single-choice w/ correct",I353, 
IF(D353="Series", LEFT(I353, FIND("    ",I353)
))))))</f>
        <v>How do you typically handle software updates for each of the following? </v>
      </c>
      <c r="F353" s="8" t="str">
        <f aca="false">IF(D353="PRE",I353,
IF(D353="SUP",I353,
IF(D353="Single-choice","N/A",
IF(D353="Single-choice w/ correct","N/A",
IF(D353="Series", RIGHT(I353, LEN(I353) - FIND("    ",I353)-3
))))))</f>
        <v>Specific apps on your smartphone</v>
      </c>
      <c r="G353" s="6" t="s">
        <v>322</v>
      </c>
      <c r="H353" s="10" t="s">
        <v>331</v>
      </c>
      <c r="I353" s="9" t="s">
        <v>332</v>
      </c>
      <c r="J353" s="10" t="n">
        <v>99</v>
      </c>
      <c r="K353" s="10" t="s">
        <v>64</v>
      </c>
    </row>
    <row r="354" customFormat="false" ht="15" hidden="false" customHeight="true" outlineLevel="0" collapsed="false">
      <c r="A354" s="1" t="s">
        <v>13</v>
      </c>
      <c r="B354" s="1" t="s">
        <v>172</v>
      </c>
      <c r="C354" s="1" t="str">
        <f aca="false">IF(D354="PRE","N/A",
IF(D354="SUP","N/A",
IF(D354="Single-choice",H354,
IF(D354="Single-choice w/ correct",H354,
IF(D354="Series", LEFT(H354,FIND("_",H354)-1) &amp; "_" &amp; MID(H354,FIND("_",H354,FIND("_",H354)+1)+1,999)
)))))</f>
        <v>PRIVACYREG_W127</v>
      </c>
      <c r="D354" s="6" t="s">
        <v>55</v>
      </c>
      <c r="E354" s="7" t="str">
        <f aca="false">IF(D354="PRE","N/A", 
IF(D354="SUP",I354, 
IF(D354="Single-choice",I354, 
IF(D354="Single-choice w/ correct",I354, 
IF(D354="Series", LEFT(I354, FIND("    ",I354)
))))))</f>
        <v>How much do you feel you understand the laws and regulations that are currently in place to protect your data privacy?</v>
      </c>
      <c r="F354" s="8" t="str">
        <f aca="false">IF(D354="PRE",I354,
IF(D354="SUP",I354,
IF(D354="Single-choice","N/A",
IF(D354="Single-choice w/ correct","N/A",
IF(D354="Series", RIGHT(I354, LEN(I354) - FIND("    ",I354)-3
))))))</f>
        <v>N/A</v>
      </c>
      <c r="G354" s="6" t="s">
        <v>56</v>
      </c>
      <c r="H354" s="6" t="s">
        <v>333</v>
      </c>
      <c r="I354" s="9" t="s">
        <v>334</v>
      </c>
      <c r="J354" s="6" t="n">
        <v>1</v>
      </c>
      <c r="K354" s="6" t="s">
        <v>222</v>
      </c>
    </row>
    <row r="355" customFormat="false" ht="23.3" hidden="false" customHeight="false" outlineLevel="0" collapsed="false">
      <c r="A355" s="1" t="s">
        <v>13</v>
      </c>
      <c r="B355" s="1" t="s">
        <v>172</v>
      </c>
      <c r="C355" s="1" t="str">
        <f aca="false">IF(D355="PRE","N/A",
IF(D355="SUP","N/A",
IF(D355="Single-choice",H355,
IF(D355="Single-choice w/ correct",H355,
IF(D355="Series", LEFT(H355,FIND("_",H355)-1) &amp; "_" &amp; MID(H355,FIND("_",H355,FIND("_",H355)+1)+1,999)
)))))</f>
        <v>PRIVACYREG_W127</v>
      </c>
      <c r="D355" s="6" t="s">
        <v>55</v>
      </c>
      <c r="E355" s="7" t="str">
        <f aca="false">IF(D355="PRE","N/A", 
IF(D355="SUP",I355, 
IF(D355="Single-choice",I355, 
IF(D355="Single-choice w/ correct",I355, 
IF(D355="Series", LEFT(I355, FIND("    ",I355)
))))))</f>
        <v>How much do you feel you understand the laws and regulations that are currently in place to protect your data privacy?</v>
      </c>
      <c r="F355" s="8" t="str">
        <f aca="false">IF(D355="PRE",I355,
IF(D355="SUP",I355,
IF(D355="Single-choice","N/A",
IF(D355="Single-choice w/ correct","N/A",
IF(D355="Series", RIGHT(I355, LEN(I355) - FIND("    ",I355)-3
))))))</f>
        <v>N/A</v>
      </c>
      <c r="G355" s="6" t="s">
        <v>56</v>
      </c>
      <c r="H355" s="10" t="s">
        <v>333</v>
      </c>
      <c r="I355" s="9" t="s">
        <v>334</v>
      </c>
      <c r="J355" s="10" t="n">
        <v>2</v>
      </c>
      <c r="K355" s="10" t="s">
        <v>223</v>
      </c>
    </row>
    <row r="356" customFormat="false" ht="23.3" hidden="false" customHeight="false" outlineLevel="0" collapsed="false">
      <c r="A356" s="1" t="s">
        <v>13</v>
      </c>
      <c r="B356" s="1" t="s">
        <v>172</v>
      </c>
      <c r="C356" s="1" t="str">
        <f aca="false">IF(D356="PRE","N/A",
IF(D356="SUP","N/A",
IF(D356="Single-choice",H356,
IF(D356="Single-choice w/ correct",H356,
IF(D356="Series", LEFT(H356,FIND("_",H356)-1) &amp; "_" &amp; MID(H356,FIND("_",H356,FIND("_",H356)+1)+1,999)
)))))</f>
        <v>PRIVACYREG_W127</v>
      </c>
      <c r="D356" s="6" t="s">
        <v>55</v>
      </c>
      <c r="E356" s="7" t="str">
        <f aca="false">IF(D356="PRE","N/A", 
IF(D356="SUP",I356, 
IF(D356="Single-choice",I356, 
IF(D356="Single-choice w/ correct",I356, 
IF(D356="Series", LEFT(I356, FIND("    ",I356)
))))))</f>
        <v>How much do you feel you understand the laws and regulations that are currently in place to protect your data privacy?</v>
      </c>
      <c r="F356" s="8" t="str">
        <f aca="false">IF(D356="PRE",I356,
IF(D356="SUP",I356,
IF(D356="Single-choice","N/A",
IF(D356="Single-choice w/ correct","N/A",
IF(D356="Series", RIGHT(I356, LEN(I356) - FIND("    ",I356)-3
))))))</f>
        <v>N/A</v>
      </c>
      <c r="G356" s="6" t="s">
        <v>56</v>
      </c>
      <c r="H356" s="10" t="s">
        <v>333</v>
      </c>
      <c r="I356" s="9" t="s">
        <v>334</v>
      </c>
      <c r="J356" s="10" t="n">
        <v>3</v>
      </c>
      <c r="K356" s="10" t="s">
        <v>224</v>
      </c>
    </row>
    <row r="357" customFormat="false" ht="23.3" hidden="false" customHeight="false" outlineLevel="0" collapsed="false">
      <c r="A357" s="1" t="s">
        <v>13</v>
      </c>
      <c r="B357" s="1" t="s">
        <v>172</v>
      </c>
      <c r="C357" s="1" t="str">
        <f aca="false">IF(D357="PRE","N/A",
IF(D357="SUP","N/A",
IF(D357="Single-choice",H357,
IF(D357="Single-choice w/ correct",H357,
IF(D357="Series", LEFT(H357,FIND("_",H357)-1) &amp; "_" &amp; MID(H357,FIND("_",H357,FIND("_",H357)+1)+1,999)
)))))</f>
        <v>PRIVACYREG_W127</v>
      </c>
      <c r="D357" s="6" t="s">
        <v>55</v>
      </c>
      <c r="E357" s="7" t="str">
        <f aca="false">IF(D357="PRE","N/A", 
IF(D357="SUP",I357, 
IF(D357="Single-choice",I357, 
IF(D357="Single-choice w/ correct",I357, 
IF(D357="Series", LEFT(I357, FIND("    ",I357)
))))))</f>
        <v>How much do you feel you understand the laws and regulations that are currently in place to protect your data privacy?</v>
      </c>
      <c r="F357" s="8" t="str">
        <f aca="false">IF(D357="PRE",I357,
IF(D357="SUP",I357,
IF(D357="Single-choice","N/A",
IF(D357="Single-choice w/ correct","N/A",
IF(D357="Series", RIGHT(I357, LEN(I357) - FIND("    ",I357)-3
))))))</f>
        <v>N/A</v>
      </c>
      <c r="G357" s="6" t="s">
        <v>56</v>
      </c>
      <c r="H357" s="10" t="s">
        <v>333</v>
      </c>
      <c r="I357" s="9" t="s">
        <v>334</v>
      </c>
      <c r="J357" s="10" t="n">
        <v>4</v>
      </c>
      <c r="K357" s="10" t="s">
        <v>262</v>
      </c>
    </row>
    <row r="358" customFormat="false" ht="23.3" hidden="false" customHeight="false" outlineLevel="0" collapsed="false">
      <c r="A358" s="1" t="s">
        <v>13</v>
      </c>
      <c r="B358" s="1" t="s">
        <v>172</v>
      </c>
      <c r="C358" s="1" t="str">
        <f aca="false">IF(D358="PRE","N/A",
IF(D358="SUP","N/A",
IF(D358="Single-choice",H358,
IF(D358="Single-choice w/ correct",H358,
IF(D358="Series", LEFT(H358,FIND("_",H358)-1) &amp; "_" &amp; MID(H358,FIND("_",H358,FIND("_",H358)+1)+1,999)
)))))</f>
        <v>PRIVACYREG_W127</v>
      </c>
      <c r="D358" s="6" t="s">
        <v>55</v>
      </c>
      <c r="E358" s="7" t="str">
        <f aca="false">IF(D358="PRE","N/A", 
IF(D358="SUP",I358, 
IF(D358="Single-choice",I358, 
IF(D358="Single-choice w/ correct",I358, 
IF(D358="Series", LEFT(I358, FIND("    ",I358)
))))))</f>
        <v>How much do you feel you understand the laws and regulations that are currently in place to protect your data privacy?</v>
      </c>
      <c r="F358" s="8" t="str">
        <f aca="false">IF(D358="PRE",I358,
IF(D358="SUP",I358,
IF(D358="Single-choice","N/A",
IF(D358="Single-choice w/ correct","N/A",
IF(D358="Series", RIGHT(I358, LEN(I358) - FIND("    ",I358)-3
))))))</f>
        <v>N/A</v>
      </c>
      <c r="G358" s="6" t="s">
        <v>56</v>
      </c>
      <c r="H358" s="10" t="s">
        <v>333</v>
      </c>
      <c r="I358" s="9" t="s">
        <v>334</v>
      </c>
      <c r="J358" s="10" t="n">
        <v>99</v>
      </c>
      <c r="K358" s="10" t="s">
        <v>64</v>
      </c>
    </row>
    <row r="359" customFormat="false" ht="15" hidden="false" customHeight="true" outlineLevel="0" collapsed="false">
      <c r="A359" s="1" t="s">
        <v>13</v>
      </c>
      <c r="B359" s="1" t="s">
        <v>172</v>
      </c>
      <c r="C359" s="1" t="str">
        <f aca="false">IF(D359="PRE","N/A",
IF(D359="SUP","N/A",
IF(D359="Single-choice",H359,
IF(D359="Single-choice w/ correct",H359,
IF(D359="Series", LEFT(H359,FIND("_",H359)-1) &amp; "_" &amp; MID(H359,FIND("_",H359,FIND("_",H359)+1)+1,999)
)))))</f>
        <v>GOVREGV1_W127</v>
      </c>
      <c r="D359" s="6" t="s">
        <v>55</v>
      </c>
      <c r="E359" s="7" t="str">
        <f aca="false">IF(D359="PRE","N/A", 
IF(D359="SUP",I359, 
IF(D359="Single-choice",I359, 
IF(D359="Single-choice w/ correct",I359, 
IF(D359="Series", LEFT(I359, FIND("    ",I359)
))))))</f>
        <v>How much government regulation do you think there should be of what companies can do with their customers’ personal information?</v>
      </c>
      <c r="F359" s="8" t="str">
        <f aca="false">IF(D359="PRE",I359,
IF(D359="SUP",I359,
IF(D359="Single-choice","N/A",
IF(D359="Single-choice w/ correct","N/A",
IF(D359="Series", RIGHT(I359, LEN(I359) - FIND("    ",I359)-3
))))))</f>
        <v>N/A</v>
      </c>
      <c r="G359" s="6" t="s">
        <v>56</v>
      </c>
      <c r="H359" s="6" t="s">
        <v>335</v>
      </c>
      <c r="I359" s="9" t="s">
        <v>336</v>
      </c>
      <c r="J359" s="6" t="n">
        <v>1</v>
      </c>
      <c r="K359" s="6" t="s">
        <v>337</v>
      </c>
    </row>
    <row r="360" customFormat="false" ht="23.3" hidden="false" customHeight="false" outlineLevel="0" collapsed="false">
      <c r="A360" s="1" t="s">
        <v>13</v>
      </c>
      <c r="B360" s="1" t="s">
        <v>172</v>
      </c>
      <c r="C360" s="1" t="str">
        <f aca="false">IF(D360="PRE","N/A",
IF(D360="SUP","N/A",
IF(D360="Single-choice",H360,
IF(D360="Single-choice w/ correct",H360,
IF(D360="Series", LEFT(H360,FIND("_",H360)-1) &amp; "_" &amp; MID(H360,FIND("_",H360,FIND("_",H360)+1)+1,999)
)))))</f>
        <v>GOVREGV1_W127</v>
      </c>
      <c r="D360" s="6" t="s">
        <v>55</v>
      </c>
      <c r="E360" s="7" t="str">
        <f aca="false">IF(D360="PRE","N/A", 
IF(D360="SUP",I360, 
IF(D360="Single-choice",I360, 
IF(D360="Single-choice w/ correct",I360, 
IF(D360="Series", LEFT(I360, FIND("    ",I360)
))))))</f>
        <v>How much government regulation do you think there should be of what companies can do with their customers’ personal information?</v>
      </c>
      <c r="F360" s="8" t="str">
        <f aca="false">IF(D360="PRE",I360,
IF(D360="SUP",I360,
IF(D360="Single-choice","N/A",
IF(D360="Single-choice w/ correct","N/A",
IF(D360="Series", RIGHT(I360, LEN(I360) - FIND("    ",I360)-3
))))))</f>
        <v>N/A</v>
      </c>
      <c r="G360" s="6" t="s">
        <v>56</v>
      </c>
      <c r="H360" s="10" t="s">
        <v>335</v>
      </c>
      <c r="I360" s="9" t="s">
        <v>336</v>
      </c>
      <c r="J360" s="10" t="n">
        <v>2</v>
      </c>
      <c r="K360" s="10" t="s">
        <v>338</v>
      </c>
    </row>
    <row r="361" customFormat="false" ht="23.3" hidden="false" customHeight="false" outlineLevel="0" collapsed="false">
      <c r="A361" s="1" t="s">
        <v>13</v>
      </c>
      <c r="B361" s="1" t="s">
        <v>172</v>
      </c>
      <c r="C361" s="1" t="str">
        <f aca="false">IF(D361="PRE","N/A",
IF(D361="SUP","N/A",
IF(D361="Single-choice",H361,
IF(D361="Single-choice w/ correct",H361,
IF(D361="Series", LEFT(H361,FIND("_",H361)-1) &amp; "_" &amp; MID(H361,FIND("_",H361,FIND("_",H361)+1)+1,999)
)))))</f>
        <v>GOVREGV1_W127</v>
      </c>
      <c r="D361" s="6" t="s">
        <v>55</v>
      </c>
      <c r="E361" s="7" t="str">
        <f aca="false">IF(D361="PRE","N/A", 
IF(D361="SUP",I361, 
IF(D361="Single-choice",I361, 
IF(D361="Single-choice w/ correct",I361, 
IF(D361="Series", LEFT(I361, FIND("    ",I361)
))))))</f>
        <v>How much government regulation do you think there should be of what companies can do with their customers’ personal information?</v>
      </c>
      <c r="F361" s="8" t="str">
        <f aca="false">IF(D361="PRE",I361,
IF(D361="SUP",I361,
IF(D361="Single-choice","N/A",
IF(D361="Single-choice w/ correct","N/A",
IF(D361="Series", RIGHT(I361, LEN(I361) - FIND("    ",I361)-3
))))))</f>
        <v>N/A</v>
      </c>
      <c r="G361" s="6" t="s">
        <v>56</v>
      </c>
      <c r="H361" s="10" t="s">
        <v>335</v>
      </c>
      <c r="I361" s="9" t="s">
        <v>336</v>
      </c>
      <c r="J361" s="10" t="n">
        <v>3</v>
      </c>
      <c r="K361" s="10" t="s">
        <v>339</v>
      </c>
    </row>
    <row r="362" customFormat="false" ht="23.3" hidden="false" customHeight="false" outlineLevel="0" collapsed="false">
      <c r="A362" s="1" t="s">
        <v>13</v>
      </c>
      <c r="B362" s="1" t="s">
        <v>172</v>
      </c>
      <c r="C362" s="1" t="str">
        <f aca="false">IF(D362="PRE","N/A",
IF(D362="SUP","N/A",
IF(D362="Single-choice",H362,
IF(D362="Single-choice w/ correct",H362,
IF(D362="Series", LEFT(H362,FIND("_",H362)-1) &amp; "_" &amp; MID(H362,FIND("_",H362,FIND("_",H362)+1)+1,999)
)))))</f>
        <v>GOVREGV1_W127</v>
      </c>
      <c r="D362" s="6" t="s">
        <v>55</v>
      </c>
      <c r="E362" s="7" t="str">
        <f aca="false">IF(D362="PRE","N/A", 
IF(D362="SUP",I362, 
IF(D362="Single-choice",I362, 
IF(D362="Single-choice w/ correct",I362, 
IF(D362="Series", LEFT(I362, FIND("    ",I362)
))))))</f>
        <v>How much government regulation do you think there should be of what companies can do with their customers’ personal information?</v>
      </c>
      <c r="F362" s="8" t="str">
        <f aca="false">IF(D362="PRE",I362,
IF(D362="SUP",I362,
IF(D362="Single-choice","N/A",
IF(D362="Single-choice w/ correct","N/A",
IF(D362="Series", RIGHT(I362, LEN(I362) - FIND("    ",I362)-3
))))))</f>
        <v>N/A</v>
      </c>
      <c r="G362" s="6" t="s">
        <v>56</v>
      </c>
      <c r="H362" s="10" t="s">
        <v>335</v>
      </c>
      <c r="I362" s="9" t="s">
        <v>336</v>
      </c>
      <c r="J362" s="10" t="n">
        <v>99</v>
      </c>
      <c r="K362" s="10" t="s">
        <v>64</v>
      </c>
    </row>
    <row r="363" customFormat="false" ht="15" hidden="false" customHeight="true" outlineLevel="0" collapsed="false">
      <c r="A363" s="1" t="s">
        <v>13</v>
      </c>
      <c r="B363" s="1" t="s">
        <v>172</v>
      </c>
      <c r="C363" s="1" t="str">
        <f aca="false">IF(D363="PRE","N/A",
IF(D363="SUP","N/A",
IF(D363="Single-choice",H363,
IF(D363="Single-choice w/ correct",H363,
IF(D363="Series", LEFT(H363,FIND("_",H363)-1) &amp; "_" &amp; MID(H363,FIND("_",H363,FIND("_",H363)+1)+1,999)
)))))</f>
        <v>KIDPRIV1_W127</v>
      </c>
      <c r="D363" s="6" t="s">
        <v>78</v>
      </c>
      <c r="E363" s="7" t="str">
        <f aca="false">IF(D363="PRE","N/A", 
IF(D363="SUP",I363, 
IF(D363="Single-choice",I363, 
IF(D363="Single-choice w/ correct",I363, 
IF(D363="Series", LEFT(I363, FIND("    ",I363)
))))))</f>
        <v>How concerned are you about each of the following? </v>
      </c>
      <c r="F363" s="8" t="str">
        <f aca="false">IF(D363="PRE",I363,
IF(D363="SUP",I363,
IF(D363="Single-choice","N/A",
IF(D363="Single-choice w/ correct","N/A",
IF(D363="Series", RIGHT(I363, LEN(I363) - FIND("    ",I363)-3
))))))</f>
        <v>Advertisers using data about what children do online to target ads to them</v>
      </c>
      <c r="G363" s="6" t="s">
        <v>56</v>
      </c>
      <c r="H363" s="6" t="s">
        <v>340</v>
      </c>
      <c r="I363" s="9" t="s">
        <v>341</v>
      </c>
      <c r="J363" s="6" t="n">
        <v>1</v>
      </c>
      <c r="K363" s="6" t="s">
        <v>210</v>
      </c>
    </row>
    <row r="364" customFormat="false" ht="23.3" hidden="false" customHeight="false" outlineLevel="0" collapsed="false">
      <c r="A364" s="1" t="s">
        <v>13</v>
      </c>
      <c r="B364" s="1" t="s">
        <v>172</v>
      </c>
      <c r="C364" s="1" t="str">
        <f aca="false">IF(D364="PRE","N/A",
IF(D364="SUP","N/A",
IF(D364="Single-choice",H364,
IF(D364="Single-choice w/ correct",H364,
IF(D364="Series", LEFT(H364,FIND("_",H364)-1) &amp; "_" &amp; MID(H364,FIND("_",H364,FIND("_",H364)+1)+1,999)
)))))</f>
        <v>KIDPRIV1_W127</v>
      </c>
      <c r="D364" s="6" t="s">
        <v>78</v>
      </c>
      <c r="E364" s="7" t="str">
        <f aca="false">IF(D364="PRE","N/A", 
IF(D364="SUP",I364, 
IF(D364="Single-choice",I364, 
IF(D364="Single-choice w/ correct",I364, 
IF(D364="Series", LEFT(I364, FIND("    ",I364)
))))))</f>
        <v>How concerned are you about each of the following? </v>
      </c>
      <c r="F364" s="8" t="str">
        <f aca="false">IF(D364="PRE",I364,
IF(D364="SUP",I364,
IF(D364="Single-choice","N/A",
IF(D364="Single-choice w/ correct","N/A",
IF(D364="Series", RIGHT(I364, LEN(I364) - FIND("    ",I364)-3
))))))</f>
        <v>Advertisers using data about what children do online to target ads to them</v>
      </c>
      <c r="G364" s="6" t="s">
        <v>56</v>
      </c>
      <c r="H364" s="10" t="s">
        <v>340</v>
      </c>
      <c r="I364" s="9" t="s">
        <v>341</v>
      </c>
      <c r="J364" s="10" t="n">
        <v>2</v>
      </c>
      <c r="K364" s="10" t="s">
        <v>211</v>
      </c>
    </row>
    <row r="365" customFormat="false" ht="23.3" hidden="false" customHeight="false" outlineLevel="0" collapsed="false">
      <c r="A365" s="1" t="s">
        <v>13</v>
      </c>
      <c r="B365" s="1" t="s">
        <v>172</v>
      </c>
      <c r="C365" s="1" t="str">
        <f aca="false">IF(D365="PRE","N/A",
IF(D365="SUP","N/A",
IF(D365="Single-choice",H365,
IF(D365="Single-choice w/ correct",H365,
IF(D365="Series", LEFT(H365,FIND("_",H365)-1) &amp; "_" &amp; MID(H365,FIND("_",H365,FIND("_",H365)+1)+1,999)
)))))</f>
        <v>KIDPRIV1_W127</v>
      </c>
      <c r="D365" s="6" t="s">
        <v>78</v>
      </c>
      <c r="E365" s="7" t="str">
        <f aca="false">IF(D365="PRE","N/A", 
IF(D365="SUP",I365, 
IF(D365="Single-choice",I365, 
IF(D365="Single-choice w/ correct",I365, 
IF(D365="Series", LEFT(I365, FIND("    ",I365)
))))))</f>
        <v>How concerned are you about each of the following? </v>
      </c>
      <c r="F365" s="8" t="str">
        <f aca="false">IF(D365="PRE",I365,
IF(D365="SUP",I365,
IF(D365="Single-choice","N/A",
IF(D365="Single-choice w/ correct","N/A",
IF(D365="Series", RIGHT(I365, LEN(I365) - FIND("    ",I365)-3
))))))</f>
        <v>Advertisers using data about what children do online to target ads to them</v>
      </c>
      <c r="G365" s="6" t="s">
        <v>56</v>
      </c>
      <c r="H365" s="10" t="s">
        <v>340</v>
      </c>
      <c r="I365" s="9" t="s">
        <v>341</v>
      </c>
      <c r="J365" s="10" t="n">
        <v>3</v>
      </c>
      <c r="K365" s="10" t="s">
        <v>212</v>
      </c>
    </row>
    <row r="366" customFormat="false" ht="23.3" hidden="false" customHeight="false" outlineLevel="0" collapsed="false">
      <c r="A366" s="1" t="s">
        <v>13</v>
      </c>
      <c r="B366" s="1" t="s">
        <v>172</v>
      </c>
      <c r="C366" s="1" t="str">
        <f aca="false">IF(D366="PRE","N/A",
IF(D366="SUP","N/A",
IF(D366="Single-choice",H366,
IF(D366="Single-choice w/ correct",H366,
IF(D366="Series", LEFT(H366,FIND("_",H366)-1) &amp; "_" &amp; MID(H366,FIND("_",H366,FIND("_",H366)+1)+1,999)
)))))</f>
        <v>KIDPRIV1_W127</v>
      </c>
      <c r="D366" s="6" t="s">
        <v>78</v>
      </c>
      <c r="E366" s="7" t="str">
        <f aca="false">IF(D366="PRE","N/A", 
IF(D366="SUP",I366, 
IF(D366="Single-choice",I366, 
IF(D366="Single-choice w/ correct",I366, 
IF(D366="Series", LEFT(I366, FIND("    ",I366)
))))))</f>
        <v>How concerned are you about each of the following? </v>
      </c>
      <c r="F366" s="8" t="str">
        <f aca="false">IF(D366="PRE",I366,
IF(D366="SUP",I366,
IF(D366="Single-choice","N/A",
IF(D366="Single-choice w/ correct","N/A",
IF(D366="Series", RIGHT(I366, LEN(I366) - FIND("    ",I366)-3
))))))</f>
        <v>Advertisers using data about what children do online to target ads to them</v>
      </c>
      <c r="G366" s="6" t="s">
        <v>56</v>
      </c>
      <c r="H366" s="10" t="s">
        <v>340</v>
      </c>
      <c r="I366" s="9" t="s">
        <v>341</v>
      </c>
      <c r="J366" s="10" t="n">
        <v>4</v>
      </c>
      <c r="K366" s="10" t="s">
        <v>213</v>
      </c>
    </row>
    <row r="367" customFormat="false" ht="23.3" hidden="false" customHeight="false" outlineLevel="0" collapsed="false">
      <c r="A367" s="1" t="s">
        <v>13</v>
      </c>
      <c r="B367" s="1" t="s">
        <v>172</v>
      </c>
      <c r="C367" s="1" t="str">
        <f aca="false">IF(D367="PRE","N/A",
IF(D367="SUP","N/A",
IF(D367="Single-choice",H367,
IF(D367="Single-choice w/ correct",H367,
IF(D367="Series", LEFT(H367,FIND("_",H367)-1) &amp; "_" &amp; MID(H367,FIND("_",H367,FIND("_",H367)+1)+1,999)
)))))</f>
        <v>KIDPRIV1_W127</v>
      </c>
      <c r="D367" s="6" t="s">
        <v>78</v>
      </c>
      <c r="E367" s="7" t="str">
        <f aca="false">IF(D367="PRE","N/A", 
IF(D367="SUP",I367, 
IF(D367="Single-choice",I367, 
IF(D367="Single-choice w/ correct",I367, 
IF(D367="Series", LEFT(I367, FIND("    ",I367)
))))))</f>
        <v>How concerned are you about each of the following? </v>
      </c>
      <c r="F367" s="8" t="str">
        <f aca="false">IF(D367="PRE",I367,
IF(D367="SUP",I367,
IF(D367="Single-choice","N/A",
IF(D367="Single-choice w/ correct","N/A",
IF(D367="Series", RIGHT(I367, LEN(I367) - FIND("    ",I367)-3
))))))</f>
        <v>Advertisers using data about what children do online to target ads to them</v>
      </c>
      <c r="G367" s="6" t="s">
        <v>56</v>
      </c>
      <c r="H367" s="10" t="s">
        <v>340</v>
      </c>
      <c r="I367" s="9" t="s">
        <v>341</v>
      </c>
      <c r="J367" s="10" t="n">
        <v>99</v>
      </c>
      <c r="K367" s="10" t="s">
        <v>64</v>
      </c>
    </row>
    <row r="368" customFormat="false" ht="15" hidden="false" customHeight="true" outlineLevel="0" collapsed="false">
      <c r="A368" s="1" t="s">
        <v>13</v>
      </c>
      <c r="B368" s="1" t="s">
        <v>172</v>
      </c>
      <c r="C368" s="1" t="str">
        <f aca="false">IF(D368="PRE","N/A",
IF(D368="SUP","N/A",
IF(D368="Single-choice",H368,
IF(D368="Single-choice w/ correct",H368,
IF(D368="Series", LEFT(H368,FIND("_",H368)-1) &amp; "_" &amp; MID(H368,FIND("_",H368,FIND("_",H368)+1)+1,999)
)))))</f>
        <v>KIDPRIV1_W127</v>
      </c>
      <c r="D368" s="6" t="s">
        <v>78</v>
      </c>
      <c r="E368" s="7" t="str">
        <f aca="false">IF(D368="PRE","N/A", 
IF(D368="SUP",I368, 
IF(D368="Single-choice",I368, 
IF(D368="Single-choice w/ correct",I368, 
IF(D368="Series", LEFT(I368, FIND("    ",I368)
))))))</f>
        <v>How concerned are you about each of the following? </v>
      </c>
      <c r="F368" s="8" t="str">
        <f aca="false">IF(D368="PRE",I368,
IF(D368="SUP",I368,
IF(D368="Single-choice","N/A",
IF(D368="Single-choice w/ correct","N/A",
IF(D368="Series", RIGHT(I368, LEN(I368) - FIND("    ",I368)-3
))))))</f>
        <v>Online games or gaming apps tracking what children are doing on them</v>
      </c>
      <c r="G368" s="6" t="s">
        <v>56</v>
      </c>
      <c r="H368" s="6" t="s">
        <v>342</v>
      </c>
      <c r="I368" s="9" t="s">
        <v>343</v>
      </c>
      <c r="J368" s="6" t="n">
        <v>1</v>
      </c>
      <c r="K368" s="6" t="s">
        <v>210</v>
      </c>
    </row>
    <row r="369" customFormat="false" ht="23.3" hidden="false" customHeight="false" outlineLevel="0" collapsed="false">
      <c r="A369" s="1" t="s">
        <v>13</v>
      </c>
      <c r="B369" s="1" t="s">
        <v>172</v>
      </c>
      <c r="C369" s="1" t="str">
        <f aca="false">IF(D369="PRE","N/A",
IF(D369="SUP","N/A",
IF(D369="Single-choice",H369,
IF(D369="Single-choice w/ correct",H369,
IF(D369="Series", LEFT(H369,FIND("_",H369)-1) &amp; "_" &amp; MID(H369,FIND("_",H369,FIND("_",H369)+1)+1,999)
)))))</f>
        <v>KIDPRIV1_W127</v>
      </c>
      <c r="D369" s="6" t="s">
        <v>78</v>
      </c>
      <c r="E369" s="7" t="str">
        <f aca="false">IF(D369="PRE","N/A", 
IF(D369="SUP",I369, 
IF(D369="Single-choice",I369, 
IF(D369="Single-choice w/ correct",I369, 
IF(D369="Series", LEFT(I369, FIND("    ",I369)
))))))</f>
        <v>How concerned are you about each of the following? </v>
      </c>
      <c r="F369" s="8" t="str">
        <f aca="false">IF(D369="PRE",I369,
IF(D369="SUP",I369,
IF(D369="Single-choice","N/A",
IF(D369="Single-choice w/ correct","N/A",
IF(D369="Series", RIGHT(I369, LEN(I369) - FIND("    ",I369)-3
))))))</f>
        <v>Online games or gaming apps tracking what children are doing on them</v>
      </c>
      <c r="G369" s="6" t="s">
        <v>56</v>
      </c>
      <c r="H369" s="10" t="s">
        <v>342</v>
      </c>
      <c r="I369" s="9" t="s">
        <v>343</v>
      </c>
      <c r="J369" s="10" t="n">
        <v>2</v>
      </c>
      <c r="K369" s="10" t="s">
        <v>211</v>
      </c>
    </row>
    <row r="370" customFormat="false" ht="23.3" hidden="false" customHeight="false" outlineLevel="0" collapsed="false">
      <c r="A370" s="1" t="s">
        <v>13</v>
      </c>
      <c r="B370" s="1" t="s">
        <v>172</v>
      </c>
      <c r="C370" s="1" t="str">
        <f aca="false">IF(D370="PRE","N/A",
IF(D370="SUP","N/A",
IF(D370="Single-choice",H370,
IF(D370="Single-choice w/ correct",H370,
IF(D370="Series", LEFT(H370,FIND("_",H370)-1) &amp; "_" &amp; MID(H370,FIND("_",H370,FIND("_",H370)+1)+1,999)
)))))</f>
        <v>KIDPRIV1_W127</v>
      </c>
      <c r="D370" s="6" t="s">
        <v>78</v>
      </c>
      <c r="E370" s="7" t="str">
        <f aca="false">IF(D370="PRE","N/A", 
IF(D370="SUP",I370, 
IF(D370="Single-choice",I370, 
IF(D370="Single-choice w/ correct",I370, 
IF(D370="Series", LEFT(I370, FIND("    ",I370)
))))))</f>
        <v>How concerned are you about each of the following? </v>
      </c>
      <c r="F370" s="8" t="str">
        <f aca="false">IF(D370="PRE",I370,
IF(D370="SUP",I370,
IF(D370="Single-choice","N/A",
IF(D370="Single-choice w/ correct","N/A",
IF(D370="Series", RIGHT(I370, LEN(I370) - FIND("    ",I370)-3
))))))</f>
        <v>Online games or gaming apps tracking what children are doing on them</v>
      </c>
      <c r="G370" s="6" t="s">
        <v>56</v>
      </c>
      <c r="H370" s="10" t="s">
        <v>342</v>
      </c>
      <c r="I370" s="9" t="s">
        <v>343</v>
      </c>
      <c r="J370" s="10" t="n">
        <v>3</v>
      </c>
      <c r="K370" s="10" t="s">
        <v>212</v>
      </c>
    </row>
    <row r="371" customFormat="false" ht="23.3" hidden="false" customHeight="false" outlineLevel="0" collapsed="false">
      <c r="A371" s="1" t="s">
        <v>13</v>
      </c>
      <c r="B371" s="1" t="s">
        <v>172</v>
      </c>
      <c r="C371" s="1" t="str">
        <f aca="false">IF(D371="PRE","N/A",
IF(D371="SUP","N/A",
IF(D371="Single-choice",H371,
IF(D371="Single-choice w/ correct",H371,
IF(D371="Series", LEFT(H371,FIND("_",H371)-1) &amp; "_" &amp; MID(H371,FIND("_",H371,FIND("_",H371)+1)+1,999)
)))))</f>
        <v>KIDPRIV1_W127</v>
      </c>
      <c r="D371" s="6" t="s">
        <v>78</v>
      </c>
      <c r="E371" s="7" t="str">
        <f aca="false">IF(D371="PRE","N/A", 
IF(D371="SUP",I371, 
IF(D371="Single-choice",I371, 
IF(D371="Single-choice w/ correct",I371, 
IF(D371="Series", LEFT(I371, FIND("    ",I371)
))))))</f>
        <v>How concerned are you about each of the following? </v>
      </c>
      <c r="F371" s="8" t="str">
        <f aca="false">IF(D371="PRE",I371,
IF(D371="SUP",I371,
IF(D371="Single-choice","N/A",
IF(D371="Single-choice w/ correct","N/A",
IF(D371="Series", RIGHT(I371, LEN(I371) - FIND("    ",I371)-3
))))))</f>
        <v>Online games or gaming apps tracking what children are doing on them</v>
      </c>
      <c r="G371" s="6" t="s">
        <v>56</v>
      </c>
      <c r="H371" s="10" t="s">
        <v>342</v>
      </c>
      <c r="I371" s="9" t="s">
        <v>343</v>
      </c>
      <c r="J371" s="10" t="n">
        <v>4</v>
      </c>
      <c r="K371" s="10" t="s">
        <v>213</v>
      </c>
    </row>
    <row r="372" customFormat="false" ht="23.3" hidden="false" customHeight="false" outlineLevel="0" collapsed="false">
      <c r="A372" s="1" t="s">
        <v>13</v>
      </c>
      <c r="B372" s="1" t="s">
        <v>172</v>
      </c>
      <c r="C372" s="1" t="str">
        <f aca="false">IF(D372="PRE","N/A",
IF(D372="SUP","N/A",
IF(D372="Single-choice",H372,
IF(D372="Single-choice w/ correct",H372,
IF(D372="Series", LEFT(H372,FIND("_",H372)-1) &amp; "_" &amp; MID(H372,FIND("_",H372,FIND("_",H372)+1)+1,999)
)))))</f>
        <v>KIDPRIV1_W127</v>
      </c>
      <c r="D372" s="6" t="s">
        <v>78</v>
      </c>
      <c r="E372" s="7" t="str">
        <f aca="false">IF(D372="PRE","N/A", 
IF(D372="SUP",I372, 
IF(D372="Single-choice",I372, 
IF(D372="Single-choice w/ correct",I372, 
IF(D372="Series", LEFT(I372, FIND("    ",I372)
))))))</f>
        <v>How concerned are you about each of the following? </v>
      </c>
      <c r="F372" s="8" t="str">
        <f aca="false">IF(D372="PRE",I372,
IF(D372="SUP",I372,
IF(D372="Single-choice","N/A",
IF(D372="Single-choice w/ correct","N/A",
IF(D372="Series", RIGHT(I372, LEN(I372) - FIND("    ",I372)-3
))))))</f>
        <v>Online games or gaming apps tracking what children are doing on them</v>
      </c>
      <c r="G372" s="6" t="s">
        <v>56</v>
      </c>
      <c r="H372" s="10" t="s">
        <v>342</v>
      </c>
      <c r="I372" s="9" t="s">
        <v>343</v>
      </c>
      <c r="J372" s="10" t="n">
        <v>99</v>
      </c>
      <c r="K372" s="10" t="s">
        <v>64</v>
      </c>
    </row>
    <row r="373" customFormat="false" ht="15" hidden="false" customHeight="true" outlineLevel="0" collapsed="false">
      <c r="A373" s="1" t="s">
        <v>13</v>
      </c>
      <c r="B373" s="1" t="s">
        <v>172</v>
      </c>
      <c r="C373" s="1" t="str">
        <f aca="false">IF(D373="PRE","N/A",
IF(D373="SUP","N/A",
IF(D373="Single-choice",H373,
IF(D373="Single-choice w/ correct",H373,
IF(D373="Series", LEFT(H373,FIND("_",H373)-1) &amp; "_" &amp; MID(H373,FIND("_",H373,FIND("_",H373)+1)+1,999)
)))))</f>
        <v>KIDPRIV1_W127</v>
      </c>
      <c r="D373" s="6" t="s">
        <v>78</v>
      </c>
      <c r="E373" s="7" t="str">
        <f aca="false">IF(D373="PRE","N/A", 
IF(D373="SUP",I373, 
IF(D373="Single-choice",I373, 
IF(D373="Single-choice w/ correct",I373, 
IF(D373="Series", LEFT(I373, FIND("    ",I373)
))))))</f>
        <v>How concerned are you about each of the following? </v>
      </c>
      <c r="F373" s="8" t="str">
        <f aca="false">IF(D373="PRE",I373,
IF(D373="SUP",I373,
IF(D373="Single-choice","N/A",
IF(D373="Single-choice w/ correct","N/A",
IF(D373="Series", RIGHT(I373, LEN(I373) - FIND("    ",I373)-3
))))))</f>
        <v>Social media sites and apps knowing personal information about children</v>
      </c>
      <c r="G373" s="6" t="s">
        <v>56</v>
      </c>
      <c r="H373" s="6" t="s">
        <v>344</v>
      </c>
      <c r="I373" s="9" t="s">
        <v>345</v>
      </c>
      <c r="J373" s="6" t="n">
        <v>1</v>
      </c>
      <c r="K373" s="6" t="s">
        <v>210</v>
      </c>
    </row>
    <row r="374" customFormat="false" ht="23.3" hidden="false" customHeight="false" outlineLevel="0" collapsed="false">
      <c r="A374" s="1" t="s">
        <v>13</v>
      </c>
      <c r="B374" s="1" t="s">
        <v>172</v>
      </c>
      <c r="C374" s="1" t="str">
        <f aca="false">IF(D374="PRE","N/A",
IF(D374="SUP","N/A",
IF(D374="Single-choice",H374,
IF(D374="Single-choice w/ correct",H374,
IF(D374="Series", LEFT(H374,FIND("_",H374)-1) &amp; "_" &amp; MID(H374,FIND("_",H374,FIND("_",H374)+1)+1,999)
)))))</f>
        <v>KIDPRIV1_W127</v>
      </c>
      <c r="D374" s="6" t="s">
        <v>78</v>
      </c>
      <c r="E374" s="7" t="str">
        <f aca="false">IF(D374="PRE","N/A", 
IF(D374="SUP",I374, 
IF(D374="Single-choice",I374, 
IF(D374="Single-choice w/ correct",I374, 
IF(D374="Series", LEFT(I374, FIND("    ",I374)
))))))</f>
        <v>How concerned are you about each of the following? </v>
      </c>
      <c r="F374" s="8" t="str">
        <f aca="false">IF(D374="PRE",I374,
IF(D374="SUP",I374,
IF(D374="Single-choice","N/A",
IF(D374="Single-choice w/ correct","N/A",
IF(D374="Series", RIGHT(I374, LEN(I374) - FIND("    ",I374)-3
))))))</f>
        <v>Social media sites and apps knowing personal information about children</v>
      </c>
      <c r="G374" s="6" t="s">
        <v>56</v>
      </c>
      <c r="H374" s="10" t="s">
        <v>344</v>
      </c>
      <c r="I374" s="9" t="s">
        <v>345</v>
      </c>
      <c r="J374" s="10" t="n">
        <v>2</v>
      </c>
      <c r="K374" s="10" t="s">
        <v>211</v>
      </c>
    </row>
    <row r="375" customFormat="false" ht="23.3" hidden="false" customHeight="false" outlineLevel="0" collapsed="false">
      <c r="A375" s="1" t="s">
        <v>13</v>
      </c>
      <c r="B375" s="1" t="s">
        <v>172</v>
      </c>
      <c r="C375" s="1" t="str">
        <f aca="false">IF(D375="PRE","N/A",
IF(D375="SUP","N/A",
IF(D375="Single-choice",H375,
IF(D375="Single-choice w/ correct",H375,
IF(D375="Series", LEFT(H375,FIND("_",H375)-1) &amp; "_" &amp; MID(H375,FIND("_",H375,FIND("_",H375)+1)+1,999)
)))))</f>
        <v>KIDPRIV1_W127</v>
      </c>
      <c r="D375" s="6" t="s">
        <v>78</v>
      </c>
      <c r="E375" s="7" t="str">
        <f aca="false">IF(D375="PRE","N/A", 
IF(D375="SUP",I375, 
IF(D375="Single-choice",I375, 
IF(D375="Single-choice w/ correct",I375, 
IF(D375="Series", LEFT(I375, FIND("    ",I375)
))))))</f>
        <v>How concerned are you about each of the following? </v>
      </c>
      <c r="F375" s="8" t="str">
        <f aca="false">IF(D375="PRE",I375,
IF(D375="SUP",I375,
IF(D375="Single-choice","N/A",
IF(D375="Single-choice w/ correct","N/A",
IF(D375="Series", RIGHT(I375, LEN(I375) - FIND("    ",I375)-3
))))))</f>
        <v>Social media sites and apps knowing personal information about children</v>
      </c>
      <c r="G375" s="6" t="s">
        <v>56</v>
      </c>
      <c r="H375" s="10" t="s">
        <v>344</v>
      </c>
      <c r="I375" s="9" t="s">
        <v>345</v>
      </c>
      <c r="J375" s="10" t="n">
        <v>3</v>
      </c>
      <c r="K375" s="10" t="s">
        <v>212</v>
      </c>
    </row>
    <row r="376" customFormat="false" ht="23.3" hidden="false" customHeight="false" outlineLevel="0" collapsed="false">
      <c r="A376" s="1" t="s">
        <v>13</v>
      </c>
      <c r="B376" s="1" t="s">
        <v>172</v>
      </c>
      <c r="C376" s="1" t="str">
        <f aca="false">IF(D376="PRE","N/A",
IF(D376="SUP","N/A",
IF(D376="Single-choice",H376,
IF(D376="Single-choice w/ correct",H376,
IF(D376="Series", LEFT(H376,FIND("_",H376)-1) &amp; "_" &amp; MID(H376,FIND("_",H376,FIND("_",H376)+1)+1,999)
)))))</f>
        <v>KIDPRIV1_W127</v>
      </c>
      <c r="D376" s="6" t="s">
        <v>78</v>
      </c>
      <c r="E376" s="7" t="str">
        <f aca="false">IF(D376="PRE","N/A", 
IF(D376="SUP",I376, 
IF(D376="Single-choice",I376, 
IF(D376="Single-choice w/ correct",I376, 
IF(D376="Series", LEFT(I376, FIND("    ",I376)
))))))</f>
        <v>How concerned are you about each of the following? </v>
      </c>
      <c r="F376" s="8" t="str">
        <f aca="false">IF(D376="PRE",I376,
IF(D376="SUP",I376,
IF(D376="Single-choice","N/A",
IF(D376="Single-choice w/ correct","N/A",
IF(D376="Series", RIGHT(I376, LEN(I376) - FIND("    ",I376)-3
))))))</f>
        <v>Social media sites and apps knowing personal information about children</v>
      </c>
      <c r="G376" s="6" t="s">
        <v>56</v>
      </c>
      <c r="H376" s="10" t="s">
        <v>344</v>
      </c>
      <c r="I376" s="9" t="s">
        <v>345</v>
      </c>
      <c r="J376" s="10" t="n">
        <v>4</v>
      </c>
      <c r="K376" s="10" t="s">
        <v>213</v>
      </c>
    </row>
    <row r="377" customFormat="false" ht="23.3" hidden="false" customHeight="false" outlineLevel="0" collapsed="false">
      <c r="A377" s="1" t="s">
        <v>13</v>
      </c>
      <c r="B377" s="1" t="s">
        <v>172</v>
      </c>
      <c r="C377" s="1" t="str">
        <f aca="false">IF(D377="PRE","N/A",
IF(D377="SUP","N/A",
IF(D377="Single-choice",H377,
IF(D377="Single-choice w/ correct",H377,
IF(D377="Series", LEFT(H377,FIND("_",H377)-1) &amp; "_" &amp; MID(H377,FIND("_",H377,FIND("_",H377)+1)+1,999)
)))))</f>
        <v>KIDPRIV1_W127</v>
      </c>
      <c r="D377" s="6" t="s">
        <v>78</v>
      </c>
      <c r="E377" s="7" t="str">
        <f aca="false">IF(D377="PRE","N/A", 
IF(D377="SUP",I377, 
IF(D377="Single-choice",I377, 
IF(D377="Single-choice w/ correct",I377, 
IF(D377="Series", LEFT(I377, FIND("    ",I377)
))))))</f>
        <v>How concerned are you about each of the following? </v>
      </c>
      <c r="F377" s="8" t="str">
        <f aca="false">IF(D377="PRE",I377,
IF(D377="SUP",I377,
IF(D377="Single-choice","N/A",
IF(D377="Single-choice w/ correct","N/A",
IF(D377="Series", RIGHT(I377, LEN(I377) - FIND("    ",I377)-3
))))))</f>
        <v>Social media sites and apps knowing personal information about children</v>
      </c>
      <c r="G377" s="6" t="s">
        <v>56</v>
      </c>
      <c r="H377" s="10" t="s">
        <v>344</v>
      </c>
      <c r="I377" s="9" t="s">
        <v>345</v>
      </c>
      <c r="J377" s="10" t="n">
        <v>99</v>
      </c>
      <c r="K377" s="10" t="s">
        <v>64</v>
      </c>
    </row>
    <row r="378" customFormat="false" ht="15" hidden="false" customHeight="true" outlineLevel="0" collapsed="false">
      <c r="A378" s="1" t="s">
        <v>13</v>
      </c>
      <c r="B378" s="1" t="s">
        <v>172</v>
      </c>
      <c r="C378" s="1" t="str">
        <f aca="false">IF(D378="PRE","N/A",
IF(D378="SUP","N/A",
IF(D378="Single-choice",H378,
IF(D378="Single-choice w/ correct",H378,
IF(D378="Series", LEFT(H378,FIND("_",H378)-1) &amp; "_" &amp; MID(H378,FIND("_",H378,FIND("_",H378)+1)+1,999)
)))))</f>
        <v>KIDPRIV2_W127</v>
      </c>
      <c r="D378" s="6" t="s">
        <v>78</v>
      </c>
      <c r="E378" s="7" t="str">
        <f aca="false">IF(D378="PRE","N/A", 
IF(D378="SUP",I378, 
IF(D378="Single-choice",I378, 
IF(D378="Single-choice w/ correct",I378, 
IF(D378="Series", LEFT(I378, FIND("    ",I378)
))))))</f>
        <v>How much responsibility do you think each of the following should have for protecting children’s online privacy? </v>
      </c>
      <c r="F378" s="8" t="str">
        <f aca="false">IF(D378="PRE",I378,
IF(D378="SUP",I378,
IF(D378="Single-choice","N/A",
IF(D378="Single-choice w/ correct","N/A",
IF(D378="Series", RIGHT(I378, LEN(I378) - FIND("    ",I378)-3
))))))</f>
        <v>The government</v>
      </c>
      <c r="G378" s="6" t="s">
        <v>56</v>
      </c>
      <c r="H378" s="6" t="s">
        <v>346</v>
      </c>
      <c r="I378" s="9" t="s">
        <v>347</v>
      </c>
      <c r="J378" s="6" t="n">
        <v>1</v>
      </c>
      <c r="K378" s="6" t="s">
        <v>348</v>
      </c>
    </row>
    <row r="379" customFormat="false" ht="23.3" hidden="false" customHeight="false" outlineLevel="0" collapsed="false">
      <c r="A379" s="1" t="s">
        <v>13</v>
      </c>
      <c r="B379" s="1" t="s">
        <v>172</v>
      </c>
      <c r="C379" s="1" t="str">
        <f aca="false">IF(D379="PRE","N/A",
IF(D379="SUP","N/A",
IF(D379="Single-choice",H379,
IF(D379="Single-choice w/ correct",H379,
IF(D379="Series", LEFT(H379,FIND("_",H379)-1) &amp; "_" &amp; MID(H379,FIND("_",H379,FIND("_",H379)+1)+1,999)
)))))</f>
        <v>KIDPRIV2_W127</v>
      </c>
      <c r="D379" s="6" t="s">
        <v>78</v>
      </c>
      <c r="E379" s="7" t="str">
        <f aca="false">IF(D379="PRE","N/A", 
IF(D379="SUP",I379, 
IF(D379="Single-choice",I379, 
IF(D379="Single-choice w/ correct",I379, 
IF(D379="Series", LEFT(I379, FIND("    ",I379)
))))))</f>
        <v>How much responsibility do you think each of the following should have for protecting children’s online privacy? </v>
      </c>
      <c r="F379" s="8" t="str">
        <f aca="false">IF(D379="PRE",I379,
IF(D379="SUP",I379,
IF(D379="Single-choice","N/A",
IF(D379="Single-choice w/ correct","N/A",
IF(D379="Series", RIGHT(I379, LEN(I379) - FIND("    ",I379)-3
))))))</f>
        <v>The government</v>
      </c>
      <c r="G379" s="6" t="s">
        <v>56</v>
      </c>
      <c r="H379" s="10" t="s">
        <v>346</v>
      </c>
      <c r="I379" s="9" t="s">
        <v>347</v>
      </c>
      <c r="J379" s="10" t="n">
        <v>2</v>
      </c>
      <c r="K379" s="10" t="s">
        <v>349</v>
      </c>
    </row>
    <row r="380" customFormat="false" ht="23.3" hidden="false" customHeight="false" outlineLevel="0" collapsed="false">
      <c r="A380" s="1" t="s">
        <v>13</v>
      </c>
      <c r="B380" s="1" t="s">
        <v>172</v>
      </c>
      <c r="C380" s="1" t="str">
        <f aca="false">IF(D380="PRE","N/A",
IF(D380="SUP","N/A",
IF(D380="Single-choice",H380,
IF(D380="Single-choice w/ correct",H380,
IF(D380="Series", LEFT(H380,FIND("_",H380)-1) &amp; "_" &amp; MID(H380,FIND("_",H380,FIND("_",H380)+1)+1,999)
)))))</f>
        <v>KIDPRIV2_W127</v>
      </c>
      <c r="D380" s="6" t="s">
        <v>78</v>
      </c>
      <c r="E380" s="7" t="str">
        <f aca="false">IF(D380="PRE","N/A", 
IF(D380="SUP",I380, 
IF(D380="Single-choice",I380, 
IF(D380="Single-choice w/ correct",I380, 
IF(D380="Series", LEFT(I380, FIND("    ",I380)
))))))</f>
        <v>How much responsibility do you think each of the following should have for protecting children’s online privacy? </v>
      </c>
      <c r="F380" s="8" t="str">
        <f aca="false">IF(D380="PRE",I380,
IF(D380="SUP",I380,
IF(D380="Single-choice","N/A",
IF(D380="Single-choice w/ correct","N/A",
IF(D380="Series", RIGHT(I380, LEN(I380) - FIND("    ",I380)-3
))))))</f>
        <v>The government</v>
      </c>
      <c r="G380" s="6" t="s">
        <v>56</v>
      </c>
      <c r="H380" s="10" t="s">
        <v>346</v>
      </c>
      <c r="I380" s="9" t="s">
        <v>347</v>
      </c>
      <c r="J380" s="10" t="n">
        <v>3</v>
      </c>
      <c r="K380" s="10" t="s">
        <v>350</v>
      </c>
    </row>
    <row r="381" customFormat="false" ht="23.3" hidden="false" customHeight="false" outlineLevel="0" collapsed="false">
      <c r="A381" s="1" t="s">
        <v>13</v>
      </c>
      <c r="B381" s="1" t="s">
        <v>172</v>
      </c>
      <c r="C381" s="1" t="str">
        <f aca="false">IF(D381="PRE","N/A",
IF(D381="SUP","N/A",
IF(D381="Single-choice",H381,
IF(D381="Single-choice w/ correct",H381,
IF(D381="Series", LEFT(H381,FIND("_",H381)-1) &amp; "_" &amp; MID(H381,FIND("_",H381,FIND("_",H381)+1)+1,999)
)))))</f>
        <v>KIDPRIV2_W127</v>
      </c>
      <c r="D381" s="6" t="s">
        <v>78</v>
      </c>
      <c r="E381" s="7" t="str">
        <f aca="false">IF(D381="PRE","N/A", 
IF(D381="SUP",I381, 
IF(D381="Single-choice",I381, 
IF(D381="Single-choice w/ correct",I381, 
IF(D381="Series", LEFT(I381, FIND("    ",I381)
))))))</f>
        <v>How much responsibility do you think each of the following should have for protecting children’s online privacy? </v>
      </c>
      <c r="F381" s="8" t="str">
        <f aca="false">IF(D381="PRE",I381,
IF(D381="SUP",I381,
IF(D381="Single-choice","N/A",
IF(D381="Single-choice w/ correct","N/A",
IF(D381="Series", RIGHT(I381, LEN(I381) - FIND("    ",I381)-3
))))))</f>
        <v>The government</v>
      </c>
      <c r="G381" s="6" t="s">
        <v>56</v>
      </c>
      <c r="H381" s="10" t="s">
        <v>346</v>
      </c>
      <c r="I381" s="9" t="s">
        <v>347</v>
      </c>
      <c r="J381" s="10" t="n">
        <v>4</v>
      </c>
      <c r="K381" s="10" t="s">
        <v>351</v>
      </c>
    </row>
    <row r="382" customFormat="false" ht="23.3" hidden="false" customHeight="false" outlineLevel="0" collapsed="false">
      <c r="A382" s="1" t="s">
        <v>13</v>
      </c>
      <c r="B382" s="1" t="s">
        <v>172</v>
      </c>
      <c r="C382" s="1" t="str">
        <f aca="false">IF(D382="PRE","N/A",
IF(D382="SUP","N/A",
IF(D382="Single-choice",H382,
IF(D382="Single-choice w/ correct",H382,
IF(D382="Series", LEFT(H382,FIND("_",H382)-1) &amp; "_" &amp; MID(H382,FIND("_",H382,FIND("_",H382)+1)+1,999)
)))))</f>
        <v>KIDPRIV2_W127</v>
      </c>
      <c r="D382" s="6" t="s">
        <v>78</v>
      </c>
      <c r="E382" s="7" t="str">
        <f aca="false">IF(D382="PRE","N/A", 
IF(D382="SUP",I382, 
IF(D382="Single-choice",I382, 
IF(D382="Single-choice w/ correct",I382, 
IF(D382="Series", LEFT(I382, FIND("    ",I382)
))))))</f>
        <v>How much responsibility do you think each of the following should have for protecting children’s online privacy? </v>
      </c>
      <c r="F382" s="8" t="str">
        <f aca="false">IF(D382="PRE",I382,
IF(D382="SUP",I382,
IF(D382="Single-choice","N/A",
IF(D382="Single-choice w/ correct","N/A",
IF(D382="Series", RIGHT(I382, LEN(I382) - FIND("    ",I382)-3
))))))</f>
        <v>The government</v>
      </c>
      <c r="G382" s="6" t="s">
        <v>56</v>
      </c>
      <c r="H382" s="10" t="s">
        <v>346</v>
      </c>
      <c r="I382" s="9" t="s">
        <v>347</v>
      </c>
      <c r="J382" s="10" t="n">
        <v>99</v>
      </c>
      <c r="K382" s="10" t="s">
        <v>64</v>
      </c>
    </row>
    <row r="383" customFormat="false" ht="15" hidden="false" customHeight="true" outlineLevel="0" collapsed="false">
      <c r="A383" s="1" t="s">
        <v>13</v>
      </c>
      <c r="B383" s="1" t="s">
        <v>172</v>
      </c>
      <c r="C383" s="1" t="str">
        <f aca="false">IF(D383="PRE","N/A",
IF(D383="SUP","N/A",
IF(D383="Single-choice",H383,
IF(D383="Single-choice w/ correct",H383,
IF(D383="Series", LEFT(H383,FIND("_",H383)-1) &amp; "_" &amp; MID(H383,FIND("_",H383,FIND("_",H383)+1)+1,999)
)))))</f>
        <v>KIDPRIV2_W127</v>
      </c>
      <c r="D383" s="6" t="s">
        <v>78</v>
      </c>
      <c r="E383" s="7" t="str">
        <f aca="false">IF(D383="PRE","N/A", 
IF(D383="SUP",I383, 
IF(D383="Single-choice",I383, 
IF(D383="Single-choice w/ correct",I383, 
IF(D383="Series", LEFT(I383, FIND("    ",I383)
))))))</f>
        <v>How much responsibility do you think each of the following should have for protecting children’s online privacy? </v>
      </c>
      <c r="F383" s="8" t="str">
        <f aca="false">IF(D383="PRE",I383,
IF(D383="SUP",I383,
IF(D383="Single-choice","N/A",
IF(D383="Single-choice w/ correct","N/A",
IF(D383="Series", RIGHT(I383, LEN(I383) - FIND("    ",I383)-3
))))))</f>
        <v>Technology companies</v>
      </c>
      <c r="G383" s="6" t="s">
        <v>56</v>
      </c>
      <c r="H383" s="6" t="s">
        <v>352</v>
      </c>
      <c r="I383" s="9" t="s">
        <v>353</v>
      </c>
      <c r="J383" s="6" t="n">
        <v>1</v>
      </c>
      <c r="K383" s="6" t="s">
        <v>348</v>
      </c>
    </row>
    <row r="384" customFormat="false" ht="23.3" hidden="false" customHeight="false" outlineLevel="0" collapsed="false">
      <c r="A384" s="1" t="s">
        <v>13</v>
      </c>
      <c r="B384" s="1" t="s">
        <v>172</v>
      </c>
      <c r="C384" s="1" t="str">
        <f aca="false">IF(D384="PRE","N/A",
IF(D384="SUP","N/A",
IF(D384="Single-choice",H384,
IF(D384="Single-choice w/ correct",H384,
IF(D384="Series", LEFT(H384,FIND("_",H384)-1) &amp; "_" &amp; MID(H384,FIND("_",H384,FIND("_",H384)+1)+1,999)
)))))</f>
        <v>KIDPRIV2_W127</v>
      </c>
      <c r="D384" s="6" t="s">
        <v>78</v>
      </c>
      <c r="E384" s="7" t="str">
        <f aca="false">IF(D384="PRE","N/A", 
IF(D384="SUP",I384, 
IF(D384="Single-choice",I384, 
IF(D384="Single-choice w/ correct",I384, 
IF(D384="Series", LEFT(I384, FIND("    ",I384)
))))))</f>
        <v>How much responsibility do you think each of the following should have for protecting children’s online privacy? </v>
      </c>
      <c r="F384" s="8" t="str">
        <f aca="false">IF(D384="PRE",I384,
IF(D384="SUP",I384,
IF(D384="Single-choice","N/A",
IF(D384="Single-choice w/ correct","N/A",
IF(D384="Series", RIGHT(I384, LEN(I384) - FIND("    ",I384)-3
))))))</f>
        <v>Technology companies</v>
      </c>
      <c r="G384" s="6" t="s">
        <v>56</v>
      </c>
      <c r="H384" s="10" t="s">
        <v>352</v>
      </c>
      <c r="I384" s="9" t="s">
        <v>353</v>
      </c>
      <c r="J384" s="10" t="n">
        <v>2</v>
      </c>
      <c r="K384" s="10" t="s">
        <v>349</v>
      </c>
    </row>
    <row r="385" customFormat="false" ht="23.3" hidden="false" customHeight="false" outlineLevel="0" collapsed="false">
      <c r="A385" s="1" t="s">
        <v>13</v>
      </c>
      <c r="B385" s="1" t="s">
        <v>172</v>
      </c>
      <c r="C385" s="1" t="str">
        <f aca="false">IF(D385="PRE","N/A",
IF(D385="SUP","N/A",
IF(D385="Single-choice",H385,
IF(D385="Single-choice w/ correct",H385,
IF(D385="Series", LEFT(H385,FIND("_",H385)-1) &amp; "_" &amp; MID(H385,FIND("_",H385,FIND("_",H385)+1)+1,999)
)))))</f>
        <v>KIDPRIV2_W127</v>
      </c>
      <c r="D385" s="6" t="s">
        <v>78</v>
      </c>
      <c r="E385" s="7" t="str">
        <f aca="false">IF(D385="PRE","N/A", 
IF(D385="SUP",I385, 
IF(D385="Single-choice",I385, 
IF(D385="Single-choice w/ correct",I385, 
IF(D385="Series", LEFT(I385, FIND("    ",I385)
))))))</f>
        <v>How much responsibility do you think each of the following should have for protecting children’s online privacy? </v>
      </c>
      <c r="F385" s="8" t="str">
        <f aca="false">IF(D385="PRE",I385,
IF(D385="SUP",I385,
IF(D385="Single-choice","N/A",
IF(D385="Single-choice w/ correct","N/A",
IF(D385="Series", RIGHT(I385, LEN(I385) - FIND("    ",I385)-3
))))))</f>
        <v>Technology companies</v>
      </c>
      <c r="G385" s="6" t="s">
        <v>56</v>
      </c>
      <c r="H385" s="10" t="s">
        <v>352</v>
      </c>
      <c r="I385" s="9" t="s">
        <v>353</v>
      </c>
      <c r="J385" s="10" t="n">
        <v>3</v>
      </c>
      <c r="K385" s="10" t="s">
        <v>350</v>
      </c>
    </row>
    <row r="386" customFormat="false" ht="23.3" hidden="false" customHeight="false" outlineLevel="0" collapsed="false">
      <c r="A386" s="1" t="s">
        <v>13</v>
      </c>
      <c r="B386" s="1" t="s">
        <v>172</v>
      </c>
      <c r="C386" s="1" t="str">
        <f aca="false">IF(D386="PRE","N/A",
IF(D386="SUP","N/A",
IF(D386="Single-choice",H386,
IF(D386="Single-choice w/ correct",H386,
IF(D386="Series", LEFT(H386,FIND("_",H386)-1) &amp; "_" &amp; MID(H386,FIND("_",H386,FIND("_",H386)+1)+1,999)
)))))</f>
        <v>KIDPRIV2_W127</v>
      </c>
      <c r="D386" s="6" t="s">
        <v>78</v>
      </c>
      <c r="E386" s="7" t="str">
        <f aca="false">IF(D386="PRE","N/A", 
IF(D386="SUP",I386, 
IF(D386="Single-choice",I386, 
IF(D386="Single-choice w/ correct",I386, 
IF(D386="Series", LEFT(I386, FIND("    ",I386)
))))))</f>
        <v>How much responsibility do you think each of the following should have for protecting children’s online privacy? </v>
      </c>
      <c r="F386" s="8" t="str">
        <f aca="false">IF(D386="PRE",I386,
IF(D386="SUP",I386,
IF(D386="Single-choice","N/A",
IF(D386="Single-choice w/ correct","N/A",
IF(D386="Series", RIGHT(I386, LEN(I386) - FIND("    ",I386)-3
))))))</f>
        <v>Technology companies</v>
      </c>
      <c r="G386" s="6" t="s">
        <v>56</v>
      </c>
      <c r="H386" s="10" t="s">
        <v>352</v>
      </c>
      <c r="I386" s="9" t="s">
        <v>353</v>
      </c>
      <c r="J386" s="10" t="n">
        <v>4</v>
      </c>
      <c r="K386" s="10" t="s">
        <v>351</v>
      </c>
    </row>
    <row r="387" customFormat="false" ht="23.3" hidden="false" customHeight="false" outlineLevel="0" collapsed="false">
      <c r="A387" s="1" t="s">
        <v>13</v>
      </c>
      <c r="B387" s="1" t="s">
        <v>172</v>
      </c>
      <c r="C387" s="1" t="str">
        <f aca="false">IF(D387="PRE","N/A",
IF(D387="SUP","N/A",
IF(D387="Single-choice",H387,
IF(D387="Single-choice w/ correct",H387,
IF(D387="Series", LEFT(H387,FIND("_",H387)-1) &amp; "_" &amp; MID(H387,FIND("_",H387,FIND("_",H387)+1)+1,999)
)))))</f>
        <v>KIDPRIV2_W127</v>
      </c>
      <c r="D387" s="6" t="s">
        <v>78</v>
      </c>
      <c r="E387" s="7" t="str">
        <f aca="false">IF(D387="PRE","N/A", 
IF(D387="SUP",I387, 
IF(D387="Single-choice",I387, 
IF(D387="Single-choice w/ correct",I387, 
IF(D387="Series", LEFT(I387, FIND("    ",I387)
))))))</f>
        <v>How much responsibility do you think each of the following should have for protecting children’s online privacy? </v>
      </c>
      <c r="F387" s="8" t="str">
        <f aca="false">IF(D387="PRE",I387,
IF(D387="SUP",I387,
IF(D387="Single-choice","N/A",
IF(D387="Single-choice w/ correct","N/A",
IF(D387="Series", RIGHT(I387, LEN(I387) - FIND("    ",I387)-3
))))))</f>
        <v>Technology companies</v>
      </c>
      <c r="G387" s="6" t="s">
        <v>56</v>
      </c>
      <c r="H387" s="10" t="s">
        <v>352</v>
      </c>
      <c r="I387" s="9" t="s">
        <v>353</v>
      </c>
      <c r="J387" s="10" t="n">
        <v>99</v>
      </c>
      <c r="K387" s="10" t="s">
        <v>64</v>
      </c>
    </row>
    <row r="388" customFormat="false" ht="15" hidden="false" customHeight="true" outlineLevel="0" collapsed="false">
      <c r="A388" s="1" t="s">
        <v>13</v>
      </c>
      <c r="B388" s="1" t="s">
        <v>172</v>
      </c>
      <c r="C388" s="1" t="str">
        <f aca="false">IF(D388="PRE","N/A",
IF(D388="SUP","N/A",
IF(D388="Single-choice",H388,
IF(D388="Single-choice w/ correct",H388,
IF(D388="Series", LEFT(H388,FIND("_",H388)-1) &amp; "_" &amp; MID(H388,FIND("_",H388,FIND("_",H388)+1)+1,999)
)))))</f>
        <v>KIDPRIV2_W127</v>
      </c>
      <c r="D388" s="6" t="s">
        <v>78</v>
      </c>
      <c r="E388" s="7" t="str">
        <f aca="false">IF(D388="PRE","N/A", 
IF(D388="SUP",I388, 
IF(D388="Single-choice",I388, 
IF(D388="Single-choice w/ correct",I388, 
IF(D388="Series", LEFT(I388, FIND("    ",I388)
))))))</f>
        <v>How much responsibility do you think each of the following should have for protecting children’s online privacy? </v>
      </c>
      <c r="F388" s="8" t="str">
        <f aca="false">IF(D388="PRE",I388,
IF(D388="SUP",I388,
IF(D388="Single-choice","N/A",
IF(D388="Single-choice w/ correct","N/A",
IF(D388="Series", RIGHT(I388, LEN(I388) - FIND("    ",I388)-3
))))))</f>
        <v>Parents</v>
      </c>
      <c r="G388" s="6" t="s">
        <v>56</v>
      </c>
      <c r="H388" s="6" t="s">
        <v>354</v>
      </c>
      <c r="I388" s="9" t="s">
        <v>355</v>
      </c>
      <c r="J388" s="6" t="n">
        <v>1</v>
      </c>
      <c r="K388" s="6" t="s">
        <v>348</v>
      </c>
    </row>
    <row r="389" customFormat="false" ht="23.3" hidden="false" customHeight="false" outlineLevel="0" collapsed="false">
      <c r="A389" s="1" t="s">
        <v>13</v>
      </c>
      <c r="B389" s="1" t="s">
        <v>172</v>
      </c>
      <c r="C389" s="1" t="str">
        <f aca="false">IF(D389="PRE","N/A",
IF(D389="SUP","N/A",
IF(D389="Single-choice",H389,
IF(D389="Single-choice w/ correct",H389,
IF(D389="Series", LEFT(H389,FIND("_",H389)-1) &amp; "_" &amp; MID(H389,FIND("_",H389,FIND("_",H389)+1)+1,999)
)))))</f>
        <v>KIDPRIV2_W127</v>
      </c>
      <c r="D389" s="6" t="s">
        <v>78</v>
      </c>
      <c r="E389" s="7" t="str">
        <f aca="false">IF(D389="PRE","N/A", 
IF(D389="SUP",I389, 
IF(D389="Single-choice",I389, 
IF(D389="Single-choice w/ correct",I389, 
IF(D389="Series", LEFT(I389, FIND("    ",I389)
))))))</f>
        <v>How much responsibility do you think each of the following should have for protecting children’s online privacy? </v>
      </c>
      <c r="F389" s="8" t="str">
        <f aca="false">IF(D389="PRE",I389,
IF(D389="SUP",I389,
IF(D389="Single-choice","N/A",
IF(D389="Single-choice w/ correct","N/A",
IF(D389="Series", RIGHT(I389, LEN(I389) - FIND("    ",I389)-3
))))))</f>
        <v>Parents</v>
      </c>
      <c r="G389" s="6" t="s">
        <v>56</v>
      </c>
      <c r="H389" s="10" t="s">
        <v>354</v>
      </c>
      <c r="I389" s="9" t="s">
        <v>355</v>
      </c>
      <c r="J389" s="10" t="n">
        <v>2</v>
      </c>
      <c r="K389" s="10" t="s">
        <v>349</v>
      </c>
    </row>
    <row r="390" customFormat="false" ht="23.3" hidden="false" customHeight="false" outlineLevel="0" collapsed="false">
      <c r="A390" s="1" t="s">
        <v>13</v>
      </c>
      <c r="B390" s="1" t="s">
        <v>172</v>
      </c>
      <c r="C390" s="1" t="str">
        <f aca="false">IF(D390="PRE","N/A",
IF(D390="SUP","N/A",
IF(D390="Single-choice",H390,
IF(D390="Single-choice w/ correct",H390,
IF(D390="Series", LEFT(H390,FIND("_",H390)-1) &amp; "_" &amp; MID(H390,FIND("_",H390,FIND("_",H390)+1)+1,999)
)))))</f>
        <v>KIDPRIV2_W127</v>
      </c>
      <c r="D390" s="6" t="s">
        <v>78</v>
      </c>
      <c r="E390" s="7" t="str">
        <f aca="false">IF(D390="PRE","N/A", 
IF(D390="SUP",I390, 
IF(D390="Single-choice",I390, 
IF(D390="Single-choice w/ correct",I390, 
IF(D390="Series", LEFT(I390, FIND("    ",I390)
))))))</f>
        <v>How much responsibility do you think each of the following should have for protecting children’s online privacy? </v>
      </c>
      <c r="F390" s="8" t="str">
        <f aca="false">IF(D390="PRE",I390,
IF(D390="SUP",I390,
IF(D390="Single-choice","N/A",
IF(D390="Single-choice w/ correct","N/A",
IF(D390="Series", RIGHT(I390, LEN(I390) - FIND("    ",I390)-3
))))))</f>
        <v>Parents</v>
      </c>
      <c r="G390" s="6" t="s">
        <v>56</v>
      </c>
      <c r="H390" s="10" t="s">
        <v>354</v>
      </c>
      <c r="I390" s="9" t="s">
        <v>355</v>
      </c>
      <c r="J390" s="10" t="n">
        <v>3</v>
      </c>
      <c r="K390" s="10" t="s">
        <v>350</v>
      </c>
    </row>
    <row r="391" customFormat="false" ht="23.3" hidden="false" customHeight="false" outlineLevel="0" collapsed="false">
      <c r="A391" s="1" t="s">
        <v>13</v>
      </c>
      <c r="B391" s="1" t="s">
        <v>172</v>
      </c>
      <c r="C391" s="1" t="str">
        <f aca="false">IF(D391="PRE","N/A",
IF(D391="SUP","N/A",
IF(D391="Single-choice",H391,
IF(D391="Single-choice w/ correct",H391,
IF(D391="Series", LEFT(H391,FIND("_",H391)-1) &amp; "_" &amp; MID(H391,FIND("_",H391,FIND("_",H391)+1)+1,999)
)))))</f>
        <v>KIDPRIV2_W127</v>
      </c>
      <c r="D391" s="6" t="s">
        <v>78</v>
      </c>
      <c r="E391" s="7" t="str">
        <f aca="false">IF(D391="PRE","N/A", 
IF(D391="SUP",I391, 
IF(D391="Single-choice",I391, 
IF(D391="Single-choice w/ correct",I391, 
IF(D391="Series", LEFT(I391, FIND("    ",I391)
))))))</f>
        <v>How much responsibility do you think each of the following should have for protecting children’s online privacy? </v>
      </c>
      <c r="F391" s="8" t="str">
        <f aca="false">IF(D391="PRE",I391,
IF(D391="SUP",I391,
IF(D391="Single-choice","N/A",
IF(D391="Single-choice w/ correct","N/A",
IF(D391="Series", RIGHT(I391, LEN(I391) - FIND("    ",I391)-3
))))))</f>
        <v>Parents</v>
      </c>
      <c r="G391" s="6" t="s">
        <v>56</v>
      </c>
      <c r="H391" s="10" t="s">
        <v>354</v>
      </c>
      <c r="I391" s="9" t="s">
        <v>355</v>
      </c>
      <c r="J391" s="10" t="n">
        <v>4</v>
      </c>
      <c r="K391" s="10" t="s">
        <v>351</v>
      </c>
    </row>
    <row r="392" customFormat="false" ht="23.3" hidden="false" customHeight="false" outlineLevel="0" collapsed="false">
      <c r="A392" s="1" t="s">
        <v>13</v>
      </c>
      <c r="B392" s="1" t="s">
        <v>172</v>
      </c>
      <c r="C392" s="1" t="str">
        <f aca="false">IF(D392="PRE","N/A",
IF(D392="SUP","N/A",
IF(D392="Single-choice",H392,
IF(D392="Single-choice w/ correct",H392,
IF(D392="Series", LEFT(H392,FIND("_",H392)-1) &amp; "_" &amp; MID(H392,FIND("_",H392,FIND("_",H392)+1)+1,999)
)))))</f>
        <v>KIDPRIV2_W127</v>
      </c>
      <c r="D392" s="6" t="s">
        <v>78</v>
      </c>
      <c r="E392" s="7" t="str">
        <f aca="false">IF(D392="PRE","N/A", 
IF(D392="SUP",I392, 
IF(D392="Single-choice",I392, 
IF(D392="Single-choice w/ correct",I392, 
IF(D392="Series", LEFT(I392, FIND("    ",I392)
))))))</f>
        <v>How much responsibility do you think each of the following should have for protecting children’s online privacy? </v>
      </c>
      <c r="F392" s="8" t="str">
        <f aca="false">IF(D392="PRE",I392,
IF(D392="SUP",I392,
IF(D392="Single-choice","N/A",
IF(D392="Single-choice w/ correct","N/A",
IF(D392="Series", RIGHT(I392, LEN(I392) - FIND("    ",I392)-3
))))))</f>
        <v>Parents</v>
      </c>
      <c r="G392" s="6" t="s">
        <v>56</v>
      </c>
      <c r="H392" s="10" t="s">
        <v>354</v>
      </c>
      <c r="I392" s="9" t="s">
        <v>355</v>
      </c>
      <c r="J392" s="10" t="n">
        <v>99</v>
      </c>
      <c r="K392" s="10" t="s">
        <v>64</v>
      </c>
    </row>
    <row r="393" customFormat="false" ht="15" hidden="false" customHeight="true" outlineLevel="0" collapsed="false">
      <c r="A393" s="1" t="s">
        <v>13</v>
      </c>
      <c r="B393" s="1" t="s">
        <v>172</v>
      </c>
      <c r="C393" s="1" t="str">
        <f aca="false">IF(D393="PRE","N/A",
IF(D393="SUP","N/A",
IF(D393="Single-choice",H393,
IF(D393="Single-choice w/ correct",H393,
IF(D393="Series", LEFT(H393,FIND("_",H393)-1) &amp; "_" &amp; MID(H393,FIND("_",H393,FIND("_",H393)+1)+1,999)
)))))</f>
        <v>ACCPTLWF1_W127</v>
      </c>
      <c r="D393" s="6" t="s">
        <v>78</v>
      </c>
      <c r="E393" s="7" t="str">
        <f aca="false">IF(D393="PRE","N/A", 
IF(D393="SUP",I393, 
IF(D393="Single-choice",I393, 
IF(D393="Single-choice w/ correct",I393, 
IF(D393="Series", LEFT(I393, FIND("    ",I393)
))))))</f>
        <v>How acceptable do you think it is for law enforcement to do each of the following during a criminal investigation? </v>
      </c>
      <c r="F393" s="8" t="str">
        <f aca="false">IF(D393="PRE",I393,
IF(D393="SUP",I393,
IF(D393="Single-choice","N/A",
IF(D393="Single-choice w/ correct","N/A",
IF(D393="Series", RIGHT(I393, LEN(I393) - FIND("    ",I393)-3
))))))</f>
        <v>Obtain footage from cameras people install at their residences, like video doorbells</v>
      </c>
      <c r="G393" s="6" t="s">
        <v>356</v>
      </c>
      <c r="H393" s="6" t="s">
        <v>357</v>
      </c>
      <c r="I393" s="9" t="s">
        <v>358</v>
      </c>
      <c r="J393" s="6" t="n">
        <v>1</v>
      </c>
      <c r="K393" s="6" t="s">
        <v>234</v>
      </c>
    </row>
    <row r="394" customFormat="false" ht="34.2" hidden="false" customHeight="false" outlineLevel="0" collapsed="false">
      <c r="A394" s="1" t="s">
        <v>13</v>
      </c>
      <c r="B394" s="1" t="s">
        <v>172</v>
      </c>
      <c r="C394" s="1" t="str">
        <f aca="false">IF(D394="PRE","N/A",
IF(D394="SUP","N/A",
IF(D394="Single-choice",H394,
IF(D394="Single-choice w/ correct",H394,
IF(D394="Series", LEFT(H394,FIND("_",H394)-1) &amp; "_" &amp; MID(H394,FIND("_",H394,FIND("_",H394)+1)+1,999)
)))))</f>
        <v>ACCPTLWF1_W127</v>
      </c>
      <c r="D394" s="6" t="s">
        <v>78</v>
      </c>
      <c r="E394" s="7" t="str">
        <f aca="false">IF(D394="PRE","N/A", 
IF(D394="SUP",I394, 
IF(D394="Single-choice",I394, 
IF(D394="Single-choice w/ correct",I394, 
IF(D394="Series", LEFT(I394, FIND("    ",I394)
))))))</f>
        <v>How acceptable do you think it is for law enforcement to do each of the following during a criminal investigation? </v>
      </c>
      <c r="F394" s="8" t="str">
        <f aca="false">IF(D394="PRE",I394,
IF(D394="SUP",I394,
IF(D394="Single-choice","N/A",
IF(D394="Single-choice w/ correct","N/A",
IF(D394="Series", RIGHT(I394, LEN(I394) - FIND("    ",I394)-3
))))))</f>
        <v>Obtain footage from cameras people install at their residences, like video doorbells</v>
      </c>
      <c r="G394" s="6" t="s">
        <v>356</v>
      </c>
      <c r="H394" s="10" t="s">
        <v>357</v>
      </c>
      <c r="I394" s="9" t="s">
        <v>358</v>
      </c>
      <c r="J394" s="10" t="n">
        <v>2</v>
      </c>
      <c r="K394" s="10" t="s">
        <v>235</v>
      </c>
    </row>
    <row r="395" customFormat="false" ht="34.2" hidden="false" customHeight="false" outlineLevel="0" collapsed="false">
      <c r="A395" s="1" t="s">
        <v>13</v>
      </c>
      <c r="B395" s="1" t="s">
        <v>172</v>
      </c>
      <c r="C395" s="1" t="str">
        <f aca="false">IF(D395="PRE","N/A",
IF(D395="SUP","N/A",
IF(D395="Single-choice",H395,
IF(D395="Single-choice w/ correct",H395,
IF(D395="Series", LEFT(H395,FIND("_",H395)-1) &amp; "_" &amp; MID(H395,FIND("_",H395,FIND("_",H395)+1)+1,999)
)))))</f>
        <v>ACCPTLWF1_W127</v>
      </c>
      <c r="D395" s="6" t="s">
        <v>78</v>
      </c>
      <c r="E395" s="7" t="str">
        <f aca="false">IF(D395="PRE","N/A", 
IF(D395="SUP",I395, 
IF(D395="Single-choice",I395, 
IF(D395="Single-choice w/ correct",I395, 
IF(D395="Series", LEFT(I395, FIND("    ",I395)
))))))</f>
        <v>How acceptable do you think it is for law enforcement to do each of the following during a criminal investigation? </v>
      </c>
      <c r="F395" s="8" t="str">
        <f aca="false">IF(D395="PRE",I395,
IF(D395="SUP",I395,
IF(D395="Single-choice","N/A",
IF(D395="Single-choice w/ correct","N/A",
IF(D395="Series", RIGHT(I395, LEN(I395) - FIND("    ",I395)-3
))))))</f>
        <v>Obtain footage from cameras people install at their residences, like video doorbells</v>
      </c>
      <c r="G395" s="6" t="s">
        <v>356</v>
      </c>
      <c r="H395" s="10" t="s">
        <v>357</v>
      </c>
      <c r="I395" s="9" t="s">
        <v>358</v>
      </c>
      <c r="J395" s="10" t="n">
        <v>3</v>
      </c>
      <c r="K395" s="10" t="s">
        <v>236</v>
      </c>
    </row>
    <row r="396" customFormat="false" ht="34.2" hidden="false" customHeight="false" outlineLevel="0" collapsed="false">
      <c r="A396" s="1" t="s">
        <v>13</v>
      </c>
      <c r="B396" s="1" t="s">
        <v>172</v>
      </c>
      <c r="C396" s="1" t="str">
        <f aca="false">IF(D396="PRE","N/A",
IF(D396="SUP","N/A",
IF(D396="Single-choice",H396,
IF(D396="Single-choice w/ correct",H396,
IF(D396="Series", LEFT(H396,FIND("_",H396)-1) &amp; "_" &amp; MID(H396,FIND("_",H396,FIND("_",H396)+1)+1,999)
)))))</f>
        <v>ACCPTLWF1_W127</v>
      </c>
      <c r="D396" s="6" t="s">
        <v>78</v>
      </c>
      <c r="E396" s="7" t="str">
        <f aca="false">IF(D396="PRE","N/A", 
IF(D396="SUP",I396, 
IF(D396="Single-choice",I396, 
IF(D396="Single-choice w/ correct",I396, 
IF(D396="Series", LEFT(I396, FIND("    ",I396)
))))))</f>
        <v>How acceptable do you think it is for law enforcement to do each of the following during a criminal investigation? </v>
      </c>
      <c r="F396" s="8" t="str">
        <f aca="false">IF(D396="PRE",I396,
IF(D396="SUP",I396,
IF(D396="Single-choice","N/A",
IF(D396="Single-choice w/ correct","N/A",
IF(D396="Series", RIGHT(I396, LEN(I396) - FIND("    ",I396)-3
))))))</f>
        <v>Obtain footage from cameras people install at their residences, like video doorbells</v>
      </c>
      <c r="G396" s="6" t="s">
        <v>356</v>
      </c>
      <c r="H396" s="10" t="s">
        <v>357</v>
      </c>
      <c r="I396" s="9" t="s">
        <v>358</v>
      </c>
      <c r="J396" s="10" t="n">
        <v>4</v>
      </c>
      <c r="K396" s="10" t="s">
        <v>237</v>
      </c>
    </row>
    <row r="397" customFormat="false" ht="34.2" hidden="false" customHeight="false" outlineLevel="0" collapsed="false">
      <c r="A397" s="1" t="s">
        <v>13</v>
      </c>
      <c r="B397" s="1" t="s">
        <v>172</v>
      </c>
      <c r="C397" s="1" t="str">
        <f aca="false">IF(D397="PRE","N/A",
IF(D397="SUP","N/A",
IF(D397="Single-choice",H397,
IF(D397="Single-choice w/ correct",H397,
IF(D397="Series", LEFT(H397,FIND("_",H397)-1) &amp; "_" &amp; MID(H397,FIND("_",H397,FIND("_",H397)+1)+1,999)
)))))</f>
        <v>ACCPTLWF1_W127</v>
      </c>
      <c r="D397" s="6" t="s">
        <v>78</v>
      </c>
      <c r="E397" s="7" t="str">
        <f aca="false">IF(D397="PRE","N/A", 
IF(D397="SUP",I397, 
IF(D397="Single-choice",I397, 
IF(D397="Single-choice w/ correct",I397, 
IF(D397="Series", LEFT(I397, FIND("    ",I397)
))))))</f>
        <v>How acceptable do you think it is for law enforcement to do each of the following during a criminal investigation? </v>
      </c>
      <c r="F397" s="8" t="str">
        <f aca="false">IF(D397="PRE",I397,
IF(D397="SUP",I397,
IF(D397="Single-choice","N/A",
IF(D397="Single-choice w/ correct","N/A",
IF(D397="Series", RIGHT(I397, LEN(I397) - FIND("    ",I397)-3
))))))</f>
        <v>Obtain footage from cameras people install at their residences, like video doorbells</v>
      </c>
      <c r="G397" s="6" t="s">
        <v>356</v>
      </c>
      <c r="H397" s="10" t="s">
        <v>357</v>
      </c>
      <c r="I397" s="9" t="s">
        <v>358</v>
      </c>
      <c r="J397" s="10" t="n">
        <v>5</v>
      </c>
      <c r="K397" s="10" t="s">
        <v>124</v>
      </c>
    </row>
    <row r="398" customFormat="false" ht="34.2" hidden="false" customHeight="false" outlineLevel="0" collapsed="false">
      <c r="A398" s="1" t="s">
        <v>13</v>
      </c>
      <c r="B398" s="1" t="s">
        <v>172</v>
      </c>
      <c r="C398" s="1" t="str">
        <f aca="false">IF(D398="PRE","N/A",
IF(D398="SUP","N/A",
IF(D398="Single-choice",H398,
IF(D398="Single-choice w/ correct",H398,
IF(D398="Series", LEFT(H398,FIND("_",H398)-1) &amp; "_" &amp; MID(H398,FIND("_",H398,FIND("_",H398)+1)+1,999)
)))))</f>
        <v>ACCPTLWF1_W127</v>
      </c>
      <c r="D398" s="6" t="s">
        <v>78</v>
      </c>
      <c r="E398" s="7" t="str">
        <f aca="false">IF(D398="PRE","N/A", 
IF(D398="SUP",I398, 
IF(D398="Single-choice",I398, 
IF(D398="Single-choice w/ correct",I398, 
IF(D398="Series", LEFT(I398, FIND("    ",I398)
))))))</f>
        <v>How acceptable do you think it is for law enforcement to do each of the following during a criminal investigation? </v>
      </c>
      <c r="F398" s="8" t="str">
        <f aca="false">IF(D398="PRE",I398,
IF(D398="SUP",I398,
IF(D398="Single-choice","N/A",
IF(D398="Single-choice w/ correct","N/A",
IF(D398="Series", RIGHT(I398, LEN(I398) - FIND("    ",I398)-3
))))))</f>
        <v>Obtain footage from cameras people install at their residences, like video doorbells</v>
      </c>
      <c r="G398" s="6" t="s">
        <v>356</v>
      </c>
      <c r="H398" s="10" t="s">
        <v>357</v>
      </c>
      <c r="I398" s="9" t="s">
        <v>358</v>
      </c>
      <c r="J398" s="10" t="n">
        <v>99</v>
      </c>
      <c r="K398" s="10" t="s">
        <v>64</v>
      </c>
    </row>
    <row r="399" customFormat="false" ht="15" hidden="false" customHeight="true" outlineLevel="0" collapsed="false">
      <c r="A399" s="1" t="s">
        <v>13</v>
      </c>
      <c r="B399" s="1" t="s">
        <v>172</v>
      </c>
      <c r="C399" s="1" t="str">
        <f aca="false">IF(D399="PRE","N/A",
IF(D399="SUP","N/A",
IF(D399="Single-choice",H399,
IF(D399="Single-choice w/ correct",H399,
IF(D399="Series", LEFT(H399,FIND("_",H399)-1) &amp; "_" &amp; MID(H399,FIND("_",H399,FIND("_",H399)+1)+1,999)
)))))</f>
        <v>ACCPTLWF1_W127</v>
      </c>
      <c r="D399" s="6" t="s">
        <v>78</v>
      </c>
      <c r="E399" s="7" t="str">
        <f aca="false">IF(D399="PRE","N/A", 
IF(D399="SUP",I399, 
IF(D399="Single-choice",I399, 
IF(D399="Single-choice w/ correct",I399, 
IF(D399="Series", LEFT(I399, FIND("    ",I399)
))))))</f>
        <v>How acceptable do you think it is for law enforcement to do each of the following during a criminal investigation? </v>
      </c>
      <c r="F399" s="8" t="str">
        <f aca="false">IF(D399="PRE",I399,
IF(D399="SUP",I399,
IF(D399="Single-choice","N/A",
IF(D399="Single-choice w/ correct","N/A",
IF(D399="Series", RIGHT(I399, LEN(I399) - FIND("    ",I399)-3
))))))</f>
        <v>Require third parties to turn over users’ private chats, messages or calls</v>
      </c>
      <c r="G399" s="6" t="s">
        <v>356</v>
      </c>
      <c r="H399" s="6" t="s">
        <v>359</v>
      </c>
      <c r="I399" s="9" t="s">
        <v>360</v>
      </c>
      <c r="J399" s="6" t="n">
        <v>1</v>
      </c>
      <c r="K399" s="6" t="s">
        <v>234</v>
      </c>
    </row>
    <row r="400" customFormat="false" ht="34.2" hidden="false" customHeight="false" outlineLevel="0" collapsed="false">
      <c r="A400" s="1" t="s">
        <v>13</v>
      </c>
      <c r="B400" s="1" t="s">
        <v>172</v>
      </c>
      <c r="C400" s="1" t="str">
        <f aca="false">IF(D400="PRE","N/A",
IF(D400="SUP","N/A",
IF(D400="Single-choice",H400,
IF(D400="Single-choice w/ correct",H400,
IF(D400="Series", LEFT(H400,FIND("_",H400)-1) &amp; "_" &amp; MID(H400,FIND("_",H400,FIND("_",H400)+1)+1,999)
)))))</f>
        <v>ACCPTLWF1_W127</v>
      </c>
      <c r="D400" s="6" t="s">
        <v>78</v>
      </c>
      <c r="E400" s="7" t="str">
        <f aca="false">IF(D400="PRE","N/A", 
IF(D400="SUP",I400, 
IF(D400="Single-choice",I400, 
IF(D400="Single-choice w/ correct",I400, 
IF(D400="Series", LEFT(I400, FIND("    ",I400)
))))))</f>
        <v>How acceptable do you think it is for law enforcement to do each of the following during a criminal investigation? </v>
      </c>
      <c r="F400" s="8" t="str">
        <f aca="false">IF(D400="PRE",I400,
IF(D400="SUP",I400,
IF(D400="Single-choice","N/A",
IF(D400="Single-choice w/ correct","N/A",
IF(D400="Series", RIGHT(I400, LEN(I400) - FIND("    ",I400)-3
))))))</f>
        <v>Require third parties to turn over users’ private chats, messages or calls</v>
      </c>
      <c r="G400" s="6" t="s">
        <v>356</v>
      </c>
      <c r="H400" s="10" t="s">
        <v>359</v>
      </c>
      <c r="I400" s="9" t="s">
        <v>360</v>
      </c>
      <c r="J400" s="10" t="n">
        <v>2</v>
      </c>
      <c r="K400" s="10" t="s">
        <v>235</v>
      </c>
    </row>
    <row r="401" customFormat="false" ht="34.2" hidden="false" customHeight="false" outlineLevel="0" collapsed="false">
      <c r="A401" s="1" t="s">
        <v>13</v>
      </c>
      <c r="B401" s="1" t="s">
        <v>172</v>
      </c>
      <c r="C401" s="1" t="str">
        <f aca="false">IF(D401="PRE","N/A",
IF(D401="SUP","N/A",
IF(D401="Single-choice",H401,
IF(D401="Single-choice w/ correct",H401,
IF(D401="Series", LEFT(H401,FIND("_",H401)-1) &amp; "_" &amp; MID(H401,FIND("_",H401,FIND("_",H401)+1)+1,999)
)))))</f>
        <v>ACCPTLWF1_W127</v>
      </c>
      <c r="D401" s="6" t="s">
        <v>78</v>
      </c>
      <c r="E401" s="7" t="str">
        <f aca="false">IF(D401="PRE","N/A", 
IF(D401="SUP",I401, 
IF(D401="Single-choice",I401, 
IF(D401="Single-choice w/ correct",I401, 
IF(D401="Series", LEFT(I401, FIND("    ",I401)
))))))</f>
        <v>How acceptable do you think it is for law enforcement to do each of the following during a criminal investigation? </v>
      </c>
      <c r="F401" s="8" t="str">
        <f aca="false">IF(D401="PRE",I401,
IF(D401="SUP",I401,
IF(D401="Single-choice","N/A",
IF(D401="Single-choice w/ correct","N/A",
IF(D401="Series", RIGHT(I401, LEN(I401) - FIND("    ",I401)-3
))))))</f>
        <v>Require third parties to turn over users’ private chats, messages or calls</v>
      </c>
      <c r="G401" s="6" t="s">
        <v>356</v>
      </c>
      <c r="H401" s="10" t="s">
        <v>359</v>
      </c>
      <c r="I401" s="9" t="s">
        <v>360</v>
      </c>
      <c r="J401" s="10" t="n">
        <v>3</v>
      </c>
      <c r="K401" s="10" t="s">
        <v>236</v>
      </c>
    </row>
    <row r="402" customFormat="false" ht="34.2" hidden="false" customHeight="false" outlineLevel="0" collapsed="false">
      <c r="A402" s="1" t="s">
        <v>13</v>
      </c>
      <c r="B402" s="1" t="s">
        <v>172</v>
      </c>
      <c r="C402" s="1" t="str">
        <f aca="false">IF(D402="PRE","N/A",
IF(D402="SUP","N/A",
IF(D402="Single-choice",H402,
IF(D402="Single-choice w/ correct",H402,
IF(D402="Series", LEFT(H402,FIND("_",H402)-1) &amp; "_" &amp; MID(H402,FIND("_",H402,FIND("_",H402)+1)+1,999)
)))))</f>
        <v>ACCPTLWF1_W127</v>
      </c>
      <c r="D402" s="6" t="s">
        <v>78</v>
      </c>
      <c r="E402" s="7" t="str">
        <f aca="false">IF(D402="PRE","N/A", 
IF(D402="SUP",I402, 
IF(D402="Single-choice",I402, 
IF(D402="Single-choice w/ correct",I402, 
IF(D402="Series", LEFT(I402, FIND("    ",I402)
))))))</f>
        <v>How acceptable do you think it is for law enforcement to do each of the following during a criminal investigation? </v>
      </c>
      <c r="F402" s="8" t="str">
        <f aca="false">IF(D402="PRE",I402,
IF(D402="SUP",I402,
IF(D402="Single-choice","N/A",
IF(D402="Single-choice w/ correct","N/A",
IF(D402="Series", RIGHT(I402, LEN(I402) - FIND("    ",I402)-3
))))))</f>
        <v>Require third parties to turn over users’ private chats, messages or calls</v>
      </c>
      <c r="G402" s="6" t="s">
        <v>356</v>
      </c>
      <c r="H402" s="10" t="s">
        <v>359</v>
      </c>
      <c r="I402" s="9" t="s">
        <v>360</v>
      </c>
      <c r="J402" s="10" t="n">
        <v>4</v>
      </c>
      <c r="K402" s="10" t="s">
        <v>237</v>
      </c>
    </row>
    <row r="403" customFormat="false" ht="34.2" hidden="false" customHeight="false" outlineLevel="0" collapsed="false">
      <c r="A403" s="1" t="s">
        <v>13</v>
      </c>
      <c r="B403" s="1" t="s">
        <v>172</v>
      </c>
      <c r="C403" s="1" t="str">
        <f aca="false">IF(D403="PRE","N/A",
IF(D403="SUP","N/A",
IF(D403="Single-choice",H403,
IF(D403="Single-choice w/ correct",H403,
IF(D403="Series", LEFT(H403,FIND("_",H403)-1) &amp; "_" &amp; MID(H403,FIND("_",H403,FIND("_",H403)+1)+1,999)
)))))</f>
        <v>ACCPTLWF1_W127</v>
      </c>
      <c r="D403" s="6" t="s">
        <v>78</v>
      </c>
      <c r="E403" s="7" t="str">
        <f aca="false">IF(D403="PRE","N/A", 
IF(D403="SUP",I403, 
IF(D403="Single-choice",I403, 
IF(D403="Single-choice w/ correct",I403, 
IF(D403="Series", LEFT(I403, FIND("    ",I403)
))))))</f>
        <v>How acceptable do you think it is for law enforcement to do each of the following during a criminal investigation? </v>
      </c>
      <c r="F403" s="8" t="str">
        <f aca="false">IF(D403="PRE",I403,
IF(D403="SUP",I403,
IF(D403="Single-choice","N/A",
IF(D403="Single-choice w/ correct","N/A",
IF(D403="Series", RIGHT(I403, LEN(I403) - FIND("    ",I403)-3
))))))</f>
        <v>Require third parties to turn over users’ private chats, messages or calls</v>
      </c>
      <c r="G403" s="6" t="s">
        <v>356</v>
      </c>
      <c r="H403" s="10" t="s">
        <v>359</v>
      </c>
      <c r="I403" s="9" t="s">
        <v>360</v>
      </c>
      <c r="J403" s="10" t="n">
        <v>5</v>
      </c>
      <c r="K403" s="10" t="s">
        <v>124</v>
      </c>
    </row>
    <row r="404" customFormat="false" ht="34.2" hidden="false" customHeight="false" outlineLevel="0" collapsed="false">
      <c r="A404" s="1" t="s">
        <v>13</v>
      </c>
      <c r="B404" s="1" t="s">
        <v>172</v>
      </c>
      <c r="C404" s="1" t="str">
        <f aca="false">IF(D404="PRE","N/A",
IF(D404="SUP","N/A",
IF(D404="Single-choice",H404,
IF(D404="Single-choice w/ correct",H404,
IF(D404="Series", LEFT(H404,FIND("_",H404)-1) &amp; "_" &amp; MID(H404,FIND("_",H404,FIND("_",H404)+1)+1,999)
)))))</f>
        <v>ACCPTLWF1_W127</v>
      </c>
      <c r="D404" s="6" t="s">
        <v>78</v>
      </c>
      <c r="E404" s="7" t="str">
        <f aca="false">IF(D404="PRE","N/A", 
IF(D404="SUP",I404, 
IF(D404="Single-choice",I404, 
IF(D404="Single-choice w/ correct",I404, 
IF(D404="Series", LEFT(I404, FIND("    ",I404)
))))))</f>
        <v>How acceptable do you think it is for law enforcement to do each of the following during a criminal investigation? </v>
      </c>
      <c r="F404" s="8" t="str">
        <f aca="false">IF(D404="PRE",I404,
IF(D404="SUP",I404,
IF(D404="Single-choice","N/A",
IF(D404="Single-choice w/ correct","N/A",
IF(D404="Series", RIGHT(I404, LEN(I404) - FIND("    ",I404)-3
))))))</f>
        <v>Require third parties to turn over users’ private chats, messages or calls</v>
      </c>
      <c r="G404" s="6" t="s">
        <v>356</v>
      </c>
      <c r="H404" s="10" t="s">
        <v>359</v>
      </c>
      <c r="I404" s="9" t="s">
        <v>360</v>
      </c>
      <c r="J404" s="10" t="n">
        <v>99</v>
      </c>
      <c r="K404" s="10" t="s">
        <v>64</v>
      </c>
    </row>
    <row r="405" customFormat="false" ht="15" hidden="false" customHeight="true" outlineLevel="0" collapsed="false">
      <c r="A405" s="1" t="s">
        <v>13</v>
      </c>
      <c r="B405" s="1" t="s">
        <v>172</v>
      </c>
      <c r="C405" s="1" t="str">
        <f aca="false">IF(D405="PRE","N/A",
IF(D405="SUP","N/A",
IF(D405="Single-choice",H405,
IF(D405="Single-choice w/ correct",H405,
IF(D405="Series", LEFT(H405,FIND("_",H405)-1) &amp; "_" &amp; MID(H405,FIND("_",H405,FIND("_",H405)+1)+1,999)
)))))</f>
        <v>ACCPTLWF1_W127</v>
      </c>
      <c r="D405" s="6" t="s">
        <v>78</v>
      </c>
      <c r="E405" s="7" t="str">
        <f aca="false">IF(D405="PRE","N/A", 
IF(D405="SUP",I405, 
IF(D405="Single-choice",I405, 
IF(D405="Single-choice w/ correct",I405, 
IF(D405="Series", LEFT(I405, FIND("    ",I405)
))))))</f>
        <v>How acceptable do you think it is for law enforcement to do each of the following during a criminal investigation? </v>
      </c>
      <c r="F405" s="8" t="str">
        <f aca="false">IF(D405="PRE",I405,
IF(D405="SUP",I405,
IF(D405="Single-choice","N/A",
IF(D405="Single-choice w/ correct","N/A",
IF(D405="Series", RIGHT(I405, LEN(I405) - FIND("    ",I405)-3
))))))</f>
        <v>Break the passcode on a user’s phone to get access to its contents</v>
      </c>
      <c r="G405" s="6" t="s">
        <v>356</v>
      </c>
      <c r="H405" s="6" t="s">
        <v>361</v>
      </c>
      <c r="I405" s="9" t="s">
        <v>362</v>
      </c>
      <c r="J405" s="6" t="n">
        <v>1</v>
      </c>
      <c r="K405" s="6" t="s">
        <v>234</v>
      </c>
    </row>
    <row r="406" customFormat="false" ht="34.2" hidden="false" customHeight="false" outlineLevel="0" collapsed="false">
      <c r="A406" s="1" t="s">
        <v>13</v>
      </c>
      <c r="B406" s="1" t="s">
        <v>172</v>
      </c>
      <c r="C406" s="1" t="str">
        <f aca="false">IF(D406="PRE","N/A",
IF(D406="SUP","N/A",
IF(D406="Single-choice",H406,
IF(D406="Single-choice w/ correct",H406,
IF(D406="Series", LEFT(H406,FIND("_",H406)-1) &amp; "_" &amp; MID(H406,FIND("_",H406,FIND("_",H406)+1)+1,999)
)))))</f>
        <v>ACCPTLWF1_W127</v>
      </c>
      <c r="D406" s="6" t="s">
        <v>78</v>
      </c>
      <c r="E406" s="7" t="str">
        <f aca="false">IF(D406="PRE","N/A", 
IF(D406="SUP",I406, 
IF(D406="Single-choice",I406, 
IF(D406="Single-choice w/ correct",I406, 
IF(D406="Series", LEFT(I406, FIND("    ",I406)
))))))</f>
        <v>How acceptable do you think it is for law enforcement to do each of the following during a criminal investigation? </v>
      </c>
      <c r="F406" s="8" t="str">
        <f aca="false">IF(D406="PRE",I406,
IF(D406="SUP",I406,
IF(D406="Single-choice","N/A",
IF(D406="Single-choice w/ correct","N/A",
IF(D406="Series", RIGHT(I406, LEN(I406) - FIND("    ",I406)-3
))))))</f>
        <v>Break the passcode on a user’s phone to get access to its contents</v>
      </c>
      <c r="G406" s="6" t="s">
        <v>356</v>
      </c>
      <c r="H406" s="10" t="s">
        <v>361</v>
      </c>
      <c r="I406" s="9" t="s">
        <v>362</v>
      </c>
      <c r="J406" s="10" t="n">
        <v>2</v>
      </c>
      <c r="K406" s="10" t="s">
        <v>235</v>
      </c>
    </row>
    <row r="407" customFormat="false" ht="34.2" hidden="false" customHeight="false" outlineLevel="0" collapsed="false">
      <c r="A407" s="1" t="s">
        <v>13</v>
      </c>
      <c r="B407" s="1" t="s">
        <v>172</v>
      </c>
      <c r="C407" s="1" t="str">
        <f aca="false">IF(D407="PRE","N/A",
IF(D407="SUP","N/A",
IF(D407="Single-choice",H407,
IF(D407="Single-choice w/ correct",H407,
IF(D407="Series", LEFT(H407,FIND("_",H407)-1) &amp; "_" &amp; MID(H407,FIND("_",H407,FIND("_",H407)+1)+1,999)
)))))</f>
        <v>ACCPTLWF1_W127</v>
      </c>
      <c r="D407" s="6" t="s">
        <v>78</v>
      </c>
      <c r="E407" s="7" t="str">
        <f aca="false">IF(D407="PRE","N/A", 
IF(D407="SUP",I407, 
IF(D407="Single-choice",I407, 
IF(D407="Single-choice w/ correct",I407, 
IF(D407="Series", LEFT(I407, FIND("    ",I407)
))))))</f>
        <v>How acceptable do you think it is for law enforcement to do each of the following during a criminal investigation? </v>
      </c>
      <c r="F407" s="8" t="str">
        <f aca="false">IF(D407="PRE",I407,
IF(D407="SUP",I407,
IF(D407="Single-choice","N/A",
IF(D407="Single-choice w/ correct","N/A",
IF(D407="Series", RIGHT(I407, LEN(I407) - FIND("    ",I407)-3
))))))</f>
        <v>Break the passcode on a user’s phone to get access to its contents</v>
      </c>
      <c r="G407" s="6" t="s">
        <v>356</v>
      </c>
      <c r="H407" s="10" t="s">
        <v>361</v>
      </c>
      <c r="I407" s="9" t="s">
        <v>362</v>
      </c>
      <c r="J407" s="10" t="n">
        <v>3</v>
      </c>
      <c r="K407" s="10" t="s">
        <v>236</v>
      </c>
    </row>
    <row r="408" customFormat="false" ht="34.2" hidden="false" customHeight="false" outlineLevel="0" collapsed="false">
      <c r="A408" s="1" t="s">
        <v>13</v>
      </c>
      <c r="B408" s="1" t="s">
        <v>172</v>
      </c>
      <c r="C408" s="1" t="str">
        <f aca="false">IF(D408="PRE","N/A",
IF(D408="SUP","N/A",
IF(D408="Single-choice",H408,
IF(D408="Single-choice w/ correct",H408,
IF(D408="Series", LEFT(H408,FIND("_",H408)-1) &amp; "_" &amp; MID(H408,FIND("_",H408,FIND("_",H408)+1)+1,999)
)))))</f>
        <v>ACCPTLWF1_W127</v>
      </c>
      <c r="D408" s="6" t="s">
        <v>78</v>
      </c>
      <c r="E408" s="7" t="str">
        <f aca="false">IF(D408="PRE","N/A", 
IF(D408="SUP",I408, 
IF(D408="Single-choice",I408, 
IF(D408="Single-choice w/ correct",I408, 
IF(D408="Series", LEFT(I408, FIND("    ",I408)
))))))</f>
        <v>How acceptable do you think it is for law enforcement to do each of the following during a criminal investigation? </v>
      </c>
      <c r="F408" s="8" t="str">
        <f aca="false">IF(D408="PRE",I408,
IF(D408="SUP",I408,
IF(D408="Single-choice","N/A",
IF(D408="Single-choice w/ correct","N/A",
IF(D408="Series", RIGHT(I408, LEN(I408) - FIND("    ",I408)-3
))))))</f>
        <v>Break the passcode on a user’s phone to get access to its contents</v>
      </c>
      <c r="G408" s="6" t="s">
        <v>356</v>
      </c>
      <c r="H408" s="10" t="s">
        <v>361</v>
      </c>
      <c r="I408" s="9" t="s">
        <v>362</v>
      </c>
      <c r="J408" s="10" t="n">
        <v>4</v>
      </c>
      <c r="K408" s="10" t="s">
        <v>237</v>
      </c>
    </row>
    <row r="409" customFormat="false" ht="34.2" hidden="false" customHeight="false" outlineLevel="0" collapsed="false">
      <c r="A409" s="1" t="s">
        <v>13</v>
      </c>
      <c r="B409" s="1" t="s">
        <v>172</v>
      </c>
      <c r="C409" s="1" t="str">
        <f aca="false">IF(D409="PRE","N/A",
IF(D409="SUP","N/A",
IF(D409="Single-choice",H409,
IF(D409="Single-choice w/ correct",H409,
IF(D409="Series", LEFT(H409,FIND("_",H409)-1) &amp; "_" &amp; MID(H409,FIND("_",H409,FIND("_",H409)+1)+1,999)
)))))</f>
        <v>ACCPTLWF1_W127</v>
      </c>
      <c r="D409" s="6" t="s">
        <v>78</v>
      </c>
      <c r="E409" s="7" t="str">
        <f aca="false">IF(D409="PRE","N/A", 
IF(D409="SUP",I409, 
IF(D409="Single-choice",I409, 
IF(D409="Single-choice w/ correct",I409, 
IF(D409="Series", LEFT(I409, FIND("    ",I409)
))))))</f>
        <v>How acceptable do you think it is for law enforcement to do each of the following during a criminal investigation? </v>
      </c>
      <c r="F409" s="8" t="str">
        <f aca="false">IF(D409="PRE",I409,
IF(D409="SUP",I409,
IF(D409="Single-choice","N/A",
IF(D409="Single-choice w/ correct","N/A",
IF(D409="Series", RIGHT(I409, LEN(I409) - FIND("    ",I409)-3
))))))</f>
        <v>Break the passcode on a user’s phone to get access to its contents</v>
      </c>
      <c r="G409" s="6" t="s">
        <v>356</v>
      </c>
      <c r="H409" s="10" t="s">
        <v>361</v>
      </c>
      <c r="I409" s="9" t="s">
        <v>362</v>
      </c>
      <c r="J409" s="10" t="n">
        <v>5</v>
      </c>
      <c r="K409" s="10" t="s">
        <v>124</v>
      </c>
    </row>
    <row r="410" customFormat="false" ht="34.2" hidden="false" customHeight="false" outlineLevel="0" collapsed="false">
      <c r="A410" s="1" t="s">
        <v>13</v>
      </c>
      <c r="B410" s="1" t="s">
        <v>172</v>
      </c>
      <c r="C410" s="1" t="str">
        <f aca="false">IF(D410="PRE","N/A",
IF(D410="SUP","N/A",
IF(D410="Single-choice",H410,
IF(D410="Single-choice w/ correct",H410,
IF(D410="Series", LEFT(H410,FIND("_",H410)-1) &amp; "_" &amp; MID(H410,FIND("_",H410,FIND("_",H410)+1)+1,999)
)))))</f>
        <v>ACCPTLWF1_W127</v>
      </c>
      <c r="D410" s="6" t="s">
        <v>78</v>
      </c>
      <c r="E410" s="7" t="str">
        <f aca="false">IF(D410="PRE","N/A", 
IF(D410="SUP",I410, 
IF(D410="Single-choice",I410, 
IF(D410="Single-choice w/ correct",I410, 
IF(D410="Series", LEFT(I410, FIND("    ",I410)
))))))</f>
        <v>How acceptable do you think it is for law enforcement to do each of the following during a criminal investigation? </v>
      </c>
      <c r="F410" s="8" t="str">
        <f aca="false">IF(D410="PRE",I410,
IF(D410="SUP",I410,
IF(D410="Single-choice","N/A",
IF(D410="Single-choice w/ correct","N/A",
IF(D410="Series", RIGHT(I410, LEN(I410) - FIND("    ",I410)-3
))))))</f>
        <v>Break the passcode on a user’s phone to get access to its contents</v>
      </c>
      <c r="G410" s="6" t="s">
        <v>356</v>
      </c>
      <c r="H410" s="10" t="s">
        <v>361</v>
      </c>
      <c r="I410" s="9" t="s">
        <v>362</v>
      </c>
      <c r="J410" s="10" t="n">
        <v>99</v>
      </c>
      <c r="K410" s="10" t="s">
        <v>64</v>
      </c>
    </row>
    <row r="411" customFormat="false" ht="15" hidden="false" customHeight="true" outlineLevel="0" collapsed="false">
      <c r="A411" s="1" t="s">
        <v>13</v>
      </c>
      <c r="B411" s="1" t="s">
        <v>172</v>
      </c>
      <c r="C411" s="1" t="str">
        <f aca="false">IF(D411="PRE","N/A",
IF(D411="SUP","N/A",
IF(D411="Single-choice",H411,
IF(D411="Single-choice w/ correct",H411,
IF(D411="Series", LEFT(H411,FIND("_",H411)-1) &amp; "_" &amp; MID(H411,FIND("_",H411,FIND("_",H411)+1)+1,999)
)))))</f>
        <v>ACCPTLWF1_W127</v>
      </c>
      <c r="D411" s="6" t="s">
        <v>78</v>
      </c>
      <c r="E411" s="7" t="str">
        <f aca="false">IF(D411="PRE","N/A", 
IF(D411="SUP",I411, 
IF(D411="Single-choice",I411, 
IF(D411="Single-choice w/ correct",I411, 
IF(D411="Series", LEFT(I411, FIND("    ",I411)
))))))</f>
        <v>How acceptable do you think it is for law enforcement to do each of the following during a criminal investigation? </v>
      </c>
      <c r="F411" s="8" t="str">
        <f aca="false">IF(D411="PRE",I411,
IF(D411="SUP",I411,
IF(D411="Single-choice","N/A",
IF(D411="Single-choice w/ correct","N/A",
IF(D411="Series", RIGHT(I411, LEN(I411) - FIND("    ",I411)-3
))))))</f>
        <v>Use information from cell phone towers to track where someone is</v>
      </c>
      <c r="G411" s="6" t="s">
        <v>356</v>
      </c>
      <c r="H411" s="6" t="s">
        <v>363</v>
      </c>
      <c r="I411" s="9" t="s">
        <v>364</v>
      </c>
      <c r="J411" s="6" t="n">
        <v>1</v>
      </c>
      <c r="K411" s="6" t="s">
        <v>234</v>
      </c>
    </row>
    <row r="412" customFormat="false" ht="34.2" hidden="false" customHeight="false" outlineLevel="0" collapsed="false">
      <c r="A412" s="1" t="s">
        <v>13</v>
      </c>
      <c r="B412" s="1" t="s">
        <v>172</v>
      </c>
      <c r="C412" s="1" t="str">
        <f aca="false">IF(D412="PRE","N/A",
IF(D412="SUP","N/A",
IF(D412="Single-choice",H412,
IF(D412="Single-choice w/ correct",H412,
IF(D412="Series", LEFT(H412,FIND("_",H412)-1) &amp; "_" &amp; MID(H412,FIND("_",H412,FIND("_",H412)+1)+1,999)
)))))</f>
        <v>ACCPTLWF1_W127</v>
      </c>
      <c r="D412" s="6" t="s">
        <v>78</v>
      </c>
      <c r="E412" s="7" t="str">
        <f aca="false">IF(D412="PRE","N/A", 
IF(D412="SUP",I412, 
IF(D412="Single-choice",I412, 
IF(D412="Single-choice w/ correct",I412, 
IF(D412="Series", LEFT(I412, FIND("    ",I412)
))))))</f>
        <v>How acceptable do you think it is for law enforcement to do each of the following during a criminal investigation? </v>
      </c>
      <c r="F412" s="8" t="str">
        <f aca="false">IF(D412="PRE",I412,
IF(D412="SUP",I412,
IF(D412="Single-choice","N/A",
IF(D412="Single-choice w/ correct","N/A",
IF(D412="Series", RIGHT(I412, LEN(I412) - FIND("    ",I412)-3
))))))</f>
        <v>Use information from cell phone towers to track where someone is</v>
      </c>
      <c r="G412" s="6" t="s">
        <v>356</v>
      </c>
      <c r="H412" s="10" t="s">
        <v>363</v>
      </c>
      <c r="I412" s="9" t="s">
        <v>364</v>
      </c>
      <c r="J412" s="10" t="n">
        <v>2</v>
      </c>
      <c r="K412" s="10" t="s">
        <v>235</v>
      </c>
    </row>
    <row r="413" customFormat="false" ht="34.2" hidden="false" customHeight="false" outlineLevel="0" collapsed="false">
      <c r="A413" s="1" t="s">
        <v>13</v>
      </c>
      <c r="B413" s="1" t="s">
        <v>172</v>
      </c>
      <c r="C413" s="1" t="str">
        <f aca="false">IF(D413="PRE","N/A",
IF(D413="SUP","N/A",
IF(D413="Single-choice",H413,
IF(D413="Single-choice w/ correct",H413,
IF(D413="Series", LEFT(H413,FIND("_",H413)-1) &amp; "_" &amp; MID(H413,FIND("_",H413,FIND("_",H413)+1)+1,999)
)))))</f>
        <v>ACCPTLWF1_W127</v>
      </c>
      <c r="D413" s="6" t="s">
        <v>78</v>
      </c>
      <c r="E413" s="7" t="str">
        <f aca="false">IF(D413="PRE","N/A", 
IF(D413="SUP",I413, 
IF(D413="Single-choice",I413, 
IF(D413="Single-choice w/ correct",I413, 
IF(D413="Series", LEFT(I413, FIND("    ",I413)
))))))</f>
        <v>How acceptable do you think it is for law enforcement to do each of the following during a criminal investigation? </v>
      </c>
      <c r="F413" s="8" t="str">
        <f aca="false">IF(D413="PRE",I413,
IF(D413="SUP",I413,
IF(D413="Single-choice","N/A",
IF(D413="Single-choice w/ correct","N/A",
IF(D413="Series", RIGHT(I413, LEN(I413) - FIND("    ",I413)-3
))))))</f>
        <v>Use information from cell phone towers to track where someone is</v>
      </c>
      <c r="G413" s="6" t="s">
        <v>356</v>
      </c>
      <c r="H413" s="10" t="s">
        <v>363</v>
      </c>
      <c r="I413" s="9" t="s">
        <v>364</v>
      </c>
      <c r="J413" s="10" t="n">
        <v>3</v>
      </c>
      <c r="K413" s="10" t="s">
        <v>236</v>
      </c>
    </row>
    <row r="414" customFormat="false" ht="34.2" hidden="false" customHeight="false" outlineLevel="0" collapsed="false">
      <c r="A414" s="1" t="s">
        <v>13</v>
      </c>
      <c r="B414" s="1" t="s">
        <v>172</v>
      </c>
      <c r="C414" s="1" t="str">
        <f aca="false">IF(D414="PRE","N/A",
IF(D414="SUP","N/A",
IF(D414="Single-choice",H414,
IF(D414="Single-choice w/ correct",H414,
IF(D414="Series", LEFT(H414,FIND("_",H414)-1) &amp; "_" &amp; MID(H414,FIND("_",H414,FIND("_",H414)+1)+1,999)
)))))</f>
        <v>ACCPTLWF1_W127</v>
      </c>
      <c r="D414" s="6" t="s">
        <v>78</v>
      </c>
      <c r="E414" s="7" t="str">
        <f aca="false">IF(D414="PRE","N/A", 
IF(D414="SUP",I414, 
IF(D414="Single-choice",I414, 
IF(D414="Single-choice w/ correct",I414, 
IF(D414="Series", LEFT(I414, FIND("    ",I414)
))))))</f>
        <v>How acceptable do you think it is for law enforcement to do each of the following during a criminal investigation? </v>
      </c>
      <c r="F414" s="8" t="str">
        <f aca="false">IF(D414="PRE",I414,
IF(D414="SUP",I414,
IF(D414="Single-choice","N/A",
IF(D414="Single-choice w/ correct","N/A",
IF(D414="Series", RIGHT(I414, LEN(I414) - FIND("    ",I414)-3
))))))</f>
        <v>Use information from cell phone towers to track where someone is</v>
      </c>
      <c r="G414" s="6" t="s">
        <v>356</v>
      </c>
      <c r="H414" s="10" t="s">
        <v>363</v>
      </c>
      <c r="I414" s="9" t="s">
        <v>364</v>
      </c>
      <c r="J414" s="10" t="n">
        <v>4</v>
      </c>
      <c r="K414" s="10" t="s">
        <v>237</v>
      </c>
    </row>
    <row r="415" customFormat="false" ht="34.2" hidden="false" customHeight="false" outlineLevel="0" collapsed="false">
      <c r="A415" s="1" t="s">
        <v>13</v>
      </c>
      <c r="B415" s="1" t="s">
        <v>172</v>
      </c>
      <c r="C415" s="1" t="str">
        <f aca="false">IF(D415="PRE","N/A",
IF(D415="SUP","N/A",
IF(D415="Single-choice",H415,
IF(D415="Single-choice w/ correct",H415,
IF(D415="Series", LEFT(H415,FIND("_",H415)-1) &amp; "_" &amp; MID(H415,FIND("_",H415,FIND("_",H415)+1)+1,999)
)))))</f>
        <v>ACCPTLWF1_W127</v>
      </c>
      <c r="D415" s="6" t="s">
        <v>78</v>
      </c>
      <c r="E415" s="7" t="str">
        <f aca="false">IF(D415="PRE","N/A", 
IF(D415="SUP",I415, 
IF(D415="Single-choice",I415, 
IF(D415="Single-choice w/ correct",I415, 
IF(D415="Series", LEFT(I415, FIND("    ",I415)
))))))</f>
        <v>How acceptable do you think it is for law enforcement to do each of the following during a criminal investigation? </v>
      </c>
      <c r="F415" s="8" t="str">
        <f aca="false">IF(D415="PRE",I415,
IF(D415="SUP",I415,
IF(D415="Single-choice","N/A",
IF(D415="Single-choice w/ correct","N/A",
IF(D415="Series", RIGHT(I415, LEN(I415) - FIND("    ",I415)-3
))))))</f>
        <v>Use information from cell phone towers to track where someone is</v>
      </c>
      <c r="G415" s="6" t="s">
        <v>356</v>
      </c>
      <c r="H415" s="10" t="s">
        <v>363</v>
      </c>
      <c r="I415" s="9" t="s">
        <v>364</v>
      </c>
      <c r="J415" s="10" t="n">
        <v>5</v>
      </c>
      <c r="K415" s="10" t="s">
        <v>124</v>
      </c>
    </row>
    <row r="416" customFormat="false" ht="34.2" hidden="false" customHeight="false" outlineLevel="0" collapsed="false">
      <c r="A416" s="1" t="s">
        <v>13</v>
      </c>
      <c r="B416" s="1" t="s">
        <v>172</v>
      </c>
      <c r="C416" s="1" t="str">
        <f aca="false">IF(D416="PRE","N/A",
IF(D416="SUP","N/A",
IF(D416="Single-choice",H416,
IF(D416="Single-choice w/ correct",H416,
IF(D416="Series", LEFT(H416,FIND("_",H416)-1) &amp; "_" &amp; MID(H416,FIND("_",H416,FIND("_",H416)+1)+1,999)
)))))</f>
        <v>ACCPTLWF1_W127</v>
      </c>
      <c r="D416" s="6" t="s">
        <v>78</v>
      </c>
      <c r="E416" s="7" t="str">
        <f aca="false">IF(D416="PRE","N/A", 
IF(D416="SUP",I416, 
IF(D416="Single-choice",I416, 
IF(D416="Single-choice w/ correct",I416, 
IF(D416="Series", LEFT(I416, FIND("    ",I416)
))))))</f>
        <v>How acceptable do you think it is for law enforcement to do each of the following during a criminal investigation? </v>
      </c>
      <c r="F416" s="8" t="str">
        <f aca="false">IF(D416="PRE",I416,
IF(D416="SUP",I416,
IF(D416="Single-choice","N/A",
IF(D416="Single-choice w/ correct","N/A",
IF(D416="Series", RIGHT(I416, LEN(I416) - FIND("    ",I416)-3
))))))</f>
        <v>Use information from cell phone towers to track where someone is</v>
      </c>
      <c r="G416" s="6" t="s">
        <v>356</v>
      </c>
      <c r="H416" s="10" t="s">
        <v>363</v>
      </c>
      <c r="I416" s="9" t="s">
        <v>364</v>
      </c>
      <c r="J416" s="10" t="n">
        <v>99</v>
      </c>
      <c r="K416" s="10" t="s">
        <v>64</v>
      </c>
    </row>
    <row r="417" customFormat="false" ht="15" hidden="false" customHeight="true" outlineLevel="0" collapsed="false">
      <c r="A417" s="1" t="s">
        <v>13</v>
      </c>
      <c r="B417" s="1" t="s">
        <v>172</v>
      </c>
      <c r="C417" s="1" t="str">
        <f aca="false">IF(D417="PRE","N/A",
IF(D417="SUP","N/A",
IF(D417="Single-choice",H417,
IF(D417="Single-choice w/ correct",H417,
IF(D417="Series", LEFT(H417,FIND("_",H417)-1) &amp; "_" &amp; MID(H417,FIND("_",H417,FIND("_",H417)+1)+1,999)
)))))</f>
        <v>ACCPTLWF2_W127</v>
      </c>
      <c r="D417" s="6" t="s">
        <v>78</v>
      </c>
      <c r="E417" s="7" t="str">
        <f aca="false">IF(D417="PRE","N/A", 
IF(D417="SUP",I417, 
IF(D417="Single-choice",I417, 
IF(D417="Single-choice w/ correct",I417, 
IF(D417="Series", LEFT(I417, FIND("    ",I417)
))))))</f>
        <v>How acceptable do you think it is for law enforcement to do each of the following during a criminal investigation where public safety is at risk? </v>
      </c>
      <c r="F417" s="8" t="str">
        <f aca="false">IF(D417="PRE",I417,
IF(D417="SUP",I417,
IF(D417="Single-choice","N/A",
IF(D417="Single-choice w/ correct","N/A",
IF(D417="Series", RIGHT(I417, LEN(I417) - FIND("    ",I417)-3
))))))</f>
        <v>Obtain footage from cameras people install at their residences, like video doorbells</v>
      </c>
      <c r="G417" s="6" t="s">
        <v>365</v>
      </c>
      <c r="H417" s="6" t="s">
        <v>366</v>
      </c>
      <c r="I417" s="9" t="s">
        <v>367</v>
      </c>
      <c r="J417" s="6" t="n">
        <v>1</v>
      </c>
      <c r="K417" s="6" t="s">
        <v>234</v>
      </c>
    </row>
    <row r="418" customFormat="false" ht="45.1" hidden="false" customHeight="false" outlineLevel="0" collapsed="false">
      <c r="A418" s="1" t="s">
        <v>13</v>
      </c>
      <c r="B418" s="1" t="s">
        <v>172</v>
      </c>
      <c r="C418" s="1" t="str">
        <f aca="false">IF(D418="PRE","N/A",
IF(D418="SUP","N/A",
IF(D418="Single-choice",H418,
IF(D418="Single-choice w/ correct",H418,
IF(D418="Series", LEFT(H418,FIND("_",H418)-1) &amp; "_" &amp; MID(H418,FIND("_",H418,FIND("_",H418)+1)+1,999)
)))))</f>
        <v>ACCPTLWF2_W127</v>
      </c>
      <c r="D418" s="6" t="s">
        <v>78</v>
      </c>
      <c r="E418" s="7" t="str">
        <f aca="false">IF(D418="PRE","N/A", 
IF(D418="SUP",I418, 
IF(D418="Single-choice",I418, 
IF(D418="Single-choice w/ correct",I418, 
IF(D418="Series", LEFT(I418, FIND("    ",I418)
))))))</f>
        <v>How acceptable do you think it is for law enforcement to do each of the following during a criminal investigation where public safety is at risk? </v>
      </c>
      <c r="F418" s="8" t="str">
        <f aca="false">IF(D418="PRE",I418,
IF(D418="SUP",I418,
IF(D418="Single-choice","N/A",
IF(D418="Single-choice w/ correct","N/A",
IF(D418="Series", RIGHT(I418, LEN(I418) - FIND("    ",I418)-3
))))))</f>
        <v>Obtain footage from cameras people install at their residences, like video doorbells</v>
      </c>
      <c r="G418" s="6" t="s">
        <v>365</v>
      </c>
      <c r="H418" s="10" t="s">
        <v>366</v>
      </c>
      <c r="I418" s="9" t="s">
        <v>367</v>
      </c>
      <c r="J418" s="10" t="n">
        <v>2</v>
      </c>
      <c r="K418" s="10" t="s">
        <v>235</v>
      </c>
    </row>
    <row r="419" customFormat="false" ht="45.1" hidden="false" customHeight="false" outlineLevel="0" collapsed="false">
      <c r="A419" s="1" t="s">
        <v>13</v>
      </c>
      <c r="B419" s="1" t="s">
        <v>172</v>
      </c>
      <c r="C419" s="1" t="str">
        <f aca="false">IF(D419="PRE","N/A",
IF(D419="SUP","N/A",
IF(D419="Single-choice",H419,
IF(D419="Single-choice w/ correct",H419,
IF(D419="Series", LEFT(H419,FIND("_",H419)-1) &amp; "_" &amp; MID(H419,FIND("_",H419,FIND("_",H419)+1)+1,999)
)))))</f>
        <v>ACCPTLWF2_W127</v>
      </c>
      <c r="D419" s="6" t="s">
        <v>78</v>
      </c>
      <c r="E419" s="7" t="str">
        <f aca="false">IF(D419="PRE","N/A", 
IF(D419="SUP",I419, 
IF(D419="Single-choice",I419, 
IF(D419="Single-choice w/ correct",I419, 
IF(D419="Series", LEFT(I419, FIND("    ",I419)
))))))</f>
        <v>How acceptable do you think it is for law enforcement to do each of the following during a criminal investigation where public safety is at risk? </v>
      </c>
      <c r="F419" s="8" t="str">
        <f aca="false">IF(D419="PRE",I419,
IF(D419="SUP",I419,
IF(D419="Single-choice","N/A",
IF(D419="Single-choice w/ correct","N/A",
IF(D419="Series", RIGHT(I419, LEN(I419) - FIND("    ",I419)-3
))))))</f>
        <v>Obtain footage from cameras people install at their residences, like video doorbells</v>
      </c>
      <c r="G419" s="6" t="s">
        <v>365</v>
      </c>
      <c r="H419" s="10" t="s">
        <v>366</v>
      </c>
      <c r="I419" s="9" t="s">
        <v>367</v>
      </c>
      <c r="J419" s="10" t="n">
        <v>3</v>
      </c>
      <c r="K419" s="10" t="s">
        <v>236</v>
      </c>
    </row>
    <row r="420" customFormat="false" ht="45.1" hidden="false" customHeight="false" outlineLevel="0" collapsed="false">
      <c r="A420" s="1" t="s">
        <v>13</v>
      </c>
      <c r="B420" s="1" t="s">
        <v>172</v>
      </c>
      <c r="C420" s="1" t="str">
        <f aca="false">IF(D420="PRE","N/A",
IF(D420="SUP","N/A",
IF(D420="Single-choice",H420,
IF(D420="Single-choice w/ correct",H420,
IF(D420="Series", LEFT(H420,FIND("_",H420)-1) &amp; "_" &amp; MID(H420,FIND("_",H420,FIND("_",H420)+1)+1,999)
)))))</f>
        <v>ACCPTLWF2_W127</v>
      </c>
      <c r="D420" s="6" t="s">
        <v>78</v>
      </c>
      <c r="E420" s="7" t="str">
        <f aca="false">IF(D420="PRE","N/A", 
IF(D420="SUP",I420, 
IF(D420="Single-choice",I420, 
IF(D420="Single-choice w/ correct",I420, 
IF(D420="Series", LEFT(I420, FIND("    ",I420)
))))))</f>
        <v>How acceptable do you think it is for law enforcement to do each of the following during a criminal investigation where public safety is at risk? </v>
      </c>
      <c r="F420" s="8" t="str">
        <f aca="false">IF(D420="PRE",I420,
IF(D420="SUP",I420,
IF(D420="Single-choice","N/A",
IF(D420="Single-choice w/ correct","N/A",
IF(D420="Series", RIGHT(I420, LEN(I420) - FIND("    ",I420)-3
))))))</f>
        <v>Obtain footage from cameras people install at their residences, like video doorbells</v>
      </c>
      <c r="G420" s="6" t="s">
        <v>365</v>
      </c>
      <c r="H420" s="10" t="s">
        <v>366</v>
      </c>
      <c r="I420" s="9" t="s">
        <v>367</v>
      </c>
      <c r="J420" s="10" t="n">
        <v>4</v>
      </c>
      <c r="K420" s="10" t="s">
        <v>237</v>
      </c>
    </row>
    <row r="421" customFormat="false" ht="45.1" hidden="false" customHeight="false" outlineLevel="0" collapsed="false">
      <c r="A421" s="1" t="s">
        <v>13</v>
      </c>
      <c r="B421" s="1" t="s">
        <v>172</v>
      </c>
      <c r="C421" s="1" t="str">
        <f aca="false">IF(D421="PRE","N/A",
IF(D421="SUP","N/A",
IF(D421="Single-choice",H421,
IF(D421="Single-choice w/ correct",H421,
IF(D421="Series", LEFT(H421,FIND("_",H421)-1) &amp; "_" &amp; MID(H421,FIND("_",H421,FIND("_",H421)+1)+1,999)
)))))</f>
        <v>ACCPTLWF2_W127</v>
      </c>
      <c r="D421" s="6" t="s">
        <v>78</v>
      </c>
      <c r="E421" s="7" t="str">
        <f aca="false">IF(D421="PRE","N/A", 
IF(D421="SUP",I421, 
IF(D421="Single-choice",I421, 
IF(D421="Single-choice w/ correct",I421, 
IF(D421="Series", LEFT(I421, FIND("    ",I421)
))))))</f>
        <v>How acceptable do you think it is for law enforcement to do each of the following during a criminal investigation where public safety is at risk? </v>
      </c>
      <c r="F421" s="8" t="str">
        <f aca="false">IF(D421="PRE",I421,
IF(D421="SUP",I421,
IF(D421="Single-choice","N/A",
IF(D421="Single-choice w/ correct","N/A",
IF(D421="Series", RIGHT(I421, LEN(I421) - FIND("    ",I421)-3
))))))</f>
        <v>Obtain footage from cameras people install at their residences, like video doorbells</v>
      </c>
      <c r="G421" s="6" t="s">
        <v>365</v>
      </c>
      <c r="H421" s="10" t="s">
        <v>366</v>
      </c>
      <c r="I421" s="9" t="s">
        <v>367</v>
      </c>
      <c r="J421" s="10" t="n">
        <v>5</v>
      </c>
      <c r="K421" s="10" t="s">
        <v>124</v>
      </c>
    </row>
    <row r="422" customFormat="false" ht="45.1" hidden="false" customHeight="false" outlineLevel="0" collapsed="false">
      <c r="A422" s="1" t="s">
        <v>13</v>
      </c>
      <c r="B422" s="1" t="s">
        <v>172</v>
      </c>
      <c r="C422" s="1" t="str">
        <f aca="false">IF(D422="PRE","N/A",
IF(D422="SUP","N/A",
IF(D422="Single-choice",H422,
IF(D422="Single-choice w/ correct",H422,
IF(D422="Series", LEFT(H422,FIND("_",H422)-1) &amp; "_" &amp; MID(H422,FIND("_",H422,FIND("_",H422)+1)+1,999)
)))))</f>
        <v>ACCPTLWF2_W127</v>
      </c>
      <c r="D422" s="6" t="s">
        <v>78</v>
      </c>
      <c r="E422" s="7" t="str">
        <f aca="false">IF(D422="PRE","N/A", 
IF(D422="SUP",I422, 
IF(D422="Single-choice",I422, 
IF(D422="Single-choice w/ correct",I422, 
IF(D422="Series", LEFT(I422, FIND("    ",I422)
))))))</f>
        <v>How acceptable do you think it is for law enforcement to do each of the following during a criminal investigation where public safety is at risk? </v>
      </c>
      <c r="F422" s="8" t="str">
        <f aca="false">IF(D422="PRE",I422,
IF(D422="SUP",I422,
IF(D422="Single-choice","N/A",
IF(D422="Single-choice w/ correct","N/A",
IF(D422="Series", RIGHT(I422, LEN(I422) - FIND("    ",I422)-3
))))))</f>
        <v>Obtain footage from cameras people install at their residences, like video doorbells</v>
      </c>
      <c r="G422" s="6" t="s">
        <v>365</v>
      </c>
      <c r="H422" s="10" t="s">
        <v>366</v>
      </c>
      <c r="I422" s="9" t="s">
        <v>367</v>
      </c>
      <c r="J422" s="10" t="n">
        <v>99</v>
      </c>
      <c r="K422" s="10" t="s">
        <v>64</v>
      </c>
    </row>
    <row r="423" customFormat="false" ht="15" hidden="false" customHeight="true" outlineLevel="0" collapsed="false">
      <c r="A423" s="1" t="s">
        <v>13</v>
      </c>
      <c r="B423" s="1" t="s">
        <v>172</v>
      </c>
      <c r="C423" s="1" t="str">
        <f aca="false">IF(D423="PRE","N/A",
IF(D423="SUP","N/A",
IF(D423="Single-choice",H423,
IF(D423="Single-choice w/ correct",H423,
IF(D423="Series", LEFT(H423,FIND("_",H423)-1) &amp; "_" &amp; MID(H423,FIND("_",H423,FIND("_",H423)+1)+1,999)
)))))</f>
        <v>ACCPTLWF2_W127</v>
      </c>
      <c r="D423" s="6" t="s">
        <v>78</v>
      </c>
      <c r="E423" s="7" t="str">
        <f aca="false">IF(D423="PRE","N/A", 
IF(D423="SUP",I423, 
IF(D423="Single-choice",I423, 
IF(D423="Single-choice w/ correct",I423, 
IF(D423="Series", LEFT(I423, FIND("    ",I423)
))))))</f>
        <v>How acceptable do you think it is for law enforcement to do each of the following during a criminal investigation where public safety is at risk? </v>
      </c>
      <c r="F423" s="8" t="str">
        <f aca="false">IF(D423="PRE",I423,
IF(D423="SUP",I423,
IF(D423="Single-choice","N/A",
IF(D423="Single-choice w/ correct","N/A",
IF(D423="Series", RIGHT(I423, LEN(I423) - FIND("    ",I423)-3
))))))</f>
        <v>Require third parties to turn over users’ private chats, messages or calls</v>
      </c>
      <c r="G423" s="6" t="s">
        <v>365</v>
      </c>
      <c r="H423" s="6" t="s">
        <v>368</v>
      </c>
      <c r="I423" s="9" t="s">
        <v>369</v>
      </c>
      <c r="J423" s="6" t="n">
        <v>1</v>
      </c>
      <c r="K423" s="6" t="s">
        <v>234</v>
      </c>
    </row>
    <row r="424" customFormat="false" ht="34.2" hidden="false" customHeight="false" outlineLevel="0" collapsed="false">
      <c r="A424" s="1" t="s">
        <v>13</v>
      </c>
      <c r="B424" s="1" t="s">
        <v>172</v>
      </c>
      <c r="C424" s="1" t="str">
        <f aca="false">IF(D424="PRE","N/A",
IF(D424="SUP","N/A",
IF(D424="Single-choice",H424,
IF(D424="Single-choice w/ correct",H424,
IF(D424="Series", LEFT(H424,FIND("_",H424)-1) &amp; "_" &amp; MID(H424,FIND("_",H424,FIND("_",H424)+1)+1,999)
)))))</f>
        <v>ACCPTLWF2_W127</v>
      </c>
      <c r="D424" s="6" t="s">
        <v>78</v>
      </c>
      <c r="E424" s="7" t="str">
        <f aca="false">IF(D424="PRE","N/A", 
IF(D424="SUP",I424, 
IF(D424="Single-choice",I424, 
IF(D424="Single-choice w/ correct",I424, 
IF(D424="Series", LEFT(I424, FIND("    ",I424)
))))))</f>
        <v>How acceptable do you think it is for law enforcement to do each of the following during a criminal investigation where public safety is at risk? </v>
      </c>
      <c r="F424" s="8" t="str">
        <f aca="false">IF(D424="PRE",I424,
IF(D424="SUP",I424,
IF(D424="Single-choice","N/A",
IF(D424="Single-choice w/ correct","N/A",
IF(D424="Series", RIGHT(I424, LEN(I424) - FIND("    ",I424)-3
))))))</f>
        <v>Require third parties to turn over users’ private chats, messages or calls</v>
      </c>
      <c r="G424" s="6" t="s">
        <v>365</v>
      </c>
      <c r="H424" s="10" t="s">
        <v>368</v>
      </c>
      <c r="I424" s="9" t="s">
        <v>369</v>
      </c>
      <c r="J424" s="10" t="n">
        <v>2</v>
      </c>
      <c r="K424" s="10" t="s">
        <v>235</v>
      </c>
    </row>
    <row r="425" customFormat="false" ht="34.2" hidden="false" customHeight="false" outlineLevel="0" collapsed="false">
      <c r="A425" s="1" t="s">
        <v>13</v>
      </c>
      <c r="B425" s="1" t="s">
        <v>172</v>
      </c>
      <c r="C425" s="1" t="str">
        <f aca="false">IF(D425="PRE","N/A",
IF(D425="SUP","N/A",
IF(D425="Single-choice",H425,
IF(D425="Single-choice w/ correct",H425,
IF(D425="Series", LEFT(H425,FIND("_",H425)-1) &amp; "_" &amp; MID(H425,FIND("_",H425,FIND("_",H425)+1)+1,999)
)))))</f>
        <v>ACCPTLWF2_W127</v>
      </c>
      <c r="D425" s="6" t="s">
        <v>78</v>
      </c>
      <c r="E425" s="7" t="str">
        <f aca="false">IF(D425="PRE","N/A", 
IF(D425="SUP",I425, 
IF(D425="Single-choice",I425, 
IF(D425="Single-choice w/ correct",I425, 
IF(D425="Series", LEFT(I425, FIND("    ",I425)
))))))</f>
        <v>How acceptable do you think it is for law enforcement to do each of the following during a criminal investigation where public safety is at risk? </v>
      </c>
      <c r="F425" s="8" t="str">
        <f aca="false">IF(D425="PRE",I425,
IF(D425="SUP",I425,
IF(D425="Single-choice","N/A",
IF(D425="Single-choice w/ correct","N/A",
IF(D425="Series", RIGHT(I425, LEN(I425) - FIND("    ",I425)-3
))))))</f>
        <v>Require third parties to turn over users’ private chats, messages or calls</v>
      </c>
      <c r="G425" s="6" t="s">
        <v>365</v>
      </c>
      <c r="H425" s="10" t="s">
        <v>368</v>
      </c>
      <c r="I425" s="9" t="s">
        <v>369</v>
      </c>
      <c r="J425" s="10" t="n">
        <v>3</v>
      </c>
      <c r="K425" s="10" t="s">
        <v>236</v>
      </c>
    </row>
    <row r="426" customFormat="false" ht="34.2" hidden="false" customHeight="false" outlineLevel="0" collapsed="false">
      <c r="A426" s="1" t="s">
        <v>13</v>
      </c>
      <c r="B426" s="1" t="s">
        <v>172</v>
      </c>
      <c r="C426" s="1" t="str">
        <f aca="false">IF(D426="PRE","N/A",
IF(D426="SUP","N/A",
IF(D426="Single-choice",H426,
IF(D426="Single-choice w/ correct",H426,
IF(D426="Series", LEFT(H426,FIND("_",H426)-1) &amp; "_" &amp; MID(H426,FIND("_",H426,FIND("_",H426)+1)+1,999)
)))))</f>
        <v>ACCPTLWF2_W127</v>
      </c>
      <c r="D426" s="6" t="s">
        <v>78</v>
      </c>
      <c r="E426" s="7" t="str">
        <f aca="false">IF(D426="PRE","N/A", 
IF(D426="SUP",I426, 
IF(D426="Single-choice",I426, 
IF(D426="Single-choice w/ correct",I426, 
IF(D426="Series", LEFT(I426, FIND("    ",I426)
))))))</f>
        <v>How acceptable do you think it is for law enforcement to do each of the following during a criminal investigation where public safety is at risk? </v>
      </c>
      <c r="F426" s="8" t="str">
        <f aca="false">IF(D426="PRE",I426,
IF(D426="SUP",I426,
IF(D426="Single-choice","N/A",
IF(D426="Single-choice w/ correct","N/A",
IF(D426="Series", RIGHT(I426, LEN(I426) - FIND("    ",I426)-3
))))))</f>
        <v>Require third parties to turn over users’ private chats, messages or calls</v>
      </c>
      <c r="G426" s="6" t="s">
        <v>365</v>
      </c>
      <c r="H426" s="10" t="s">
        <v>368</v>
      </c>
      <c r="I426" s="9" t="s">
        <v>369</v>
      </c>
      <c r="J426" s="10" t="n">
        <v>4</v>
      </c>
      <c r="K426" s="10" t="s">
        <v>237</v>
      </c>
    </row>
    <row r="427" customFormat="false" ht="34.2" hidden="false" customHeight="false" outlineLevel="0" collapsed="false">
      <c r="A427" s="1" t="s">
        <v>13</v>
      </c>
      <c r="B427" s="1" t="s">
        <v>172</v>
      </c>
      <c r="C427" s="1" t="str">
        <f aca="false">IF(D427="PRE","N/A",
IF(D427="SUP","N/A",
IF(D427="Single-choice",H427,
IF(D427="Single-choice w/ correct",H427,
IF(D427="Series", LEFT(H427,FIND("_",H427)-1) &amp; "_" &amp; MID(H427,FIND("_",H427,FIND("_",H427)+1)+1,999)
)))))</f>
        <v>ACCPTLWF2_W127</v>
      </c>
      <c r="D427" s="6" t="s">
        <v>78</v>
      </c>
      <c r="E427" s="7" t="str">
        <f aca="false">IF(D427="PRE","N/A", 
IF(D427="SUP",I427, 
IF(D427="Single-choice",I427, 
IF(D427="Single-choice w/ correct",I427, 
IF(D427="Series", LEFT(I427, FIND("    ",I427)
))))))</f>
        <v>How acceptable do you think it is for law enforcement to do each of the following during a criminal investigation where public safety is at risk? </v>
      </c>
      <c r="F427" s="8" t="str">
        <f aca="false">IF(D427="PRE",I427,
IF(D427="SUP",I427,
IF(D427="Single-choice","N/A",
IF(D427="Single-choice w/ correct","N/A",
IF(D427="Series", RIGHT(I427, LEN(I427) - FIND("    ",I427)-3
))))))</f>
        <v>Require third parties to turn over users’ private chats, messages or calls</v>
      </c>
      <c r="G427" s="6" t="s">
        <v>365</v>
      </c>
      <c r="H427" s="10" t="s">
        <v>368</v>
      </c>
      <c r="I427" s="9" t="s">
        <v>369</v>
      </c>
      <c r="J427" s="10" t="n">
        <v>5</v>
      </c>
      <c r="K427" s="10" t="s">
        <v>124</v>
      </c>
    </row>
    <row r="428" customFormat="false" ht="34.2" hidden="false" customHeight="false" outlineLevel="0" collapsed="false">
      <c r="A428" s="1" t="s">
        <v>13</v>
      </c>
      <c r="B428" s="1" t="s">
        <v>172</v>
      </c>
      <c r="C428" s="1" t="str">
        <f aca="false">IF(D428="PRE","N/A",
IF(D428="SUP","N/A",
IF(D428="Single-choice",H428,
IF(D428="Single-choice w/ correct",H428,
IF(D428="Series", LEFT(H428,FIND("_",H428)-1) &amp; "_" &amp; MID(H428,FIND("_",H428,FIND("_",H428)+1)+1,999)
)))))</f>
        <v>ACCPTLWF2_W127</v>
      </c>
      <c r="D428" s="6" t="s">
        <v>78</v>
      </c>
      <c r="E428" s="7" t="str">
        <f aca="false">IF(D428="PRE","N/A", 
IF(D428="SUP",I428, 
IF(D428="Single-choice",I428, 
IF(D428="Single-choice w/ correct",I428, 
IF(D428="Series", LEFT(I428, FIND("    ",I428)
))))))</f>
        <v>How acceptable do you think it is for law enforcement to do each of the following during a criminal investigation where public safety is at risk? </v>
      </c>
      <c r="F428" s="8" t="str">
        <f aca="false">IF(D428="PRE",I428,
IF(D428="SUP",I428,
IF(D428="Single-choice","N/A",
IF(D428="Single-choice w/ correct","N/A",
IF(D428="Series", RIGHT(I428, LEN(I428) - FIND("    ",I428)-3
))))))</f>
        <v>Require third parties to turn over users’ private chats, messages or calls</v>
      </c>
      <c r="G428" s="6" t="s">
        <v>365</v>
      </c>
      <c r="H428" s="10" t="s">
        <v>368</v>
      </c>
      <c r="I428" s="9" t="s">
        <v>369</v>
      </c>
      <c r="J428" s="10" t="n">
        <v>99</v>
      </c>
      <c r="K428" s="10" t="s">
        <v>64</v>
      </c>
    </row>
    <row r="429" customFormat="false" ht="15" hidden="false" customHeight="true" outlineLevel="0" collapsed="false">
      <c r="A429" s="1" t="s">
        <v>13</v>
      </c>
      <c r="B429" s="1" t="s">
        <v>172</v>
      </c>
      <c r="C429" s="1" t="str">
        <f aca="false">IF(D429="PRE","N/A",
IF(D429="SUP","N/A",
IF(D429="Single-choice",H429,
IF(D429="Single-choice w/ correct",H429,
IF(D429="Series", LEFT(H429,FIND("_",H429)-1) &amp; "_" &amp; MID(H429,FIND("_",H429,FIND("_",H429)+1)+1,999)
)))))</f>
        <v>ACCPTLWF2_W127</v>
      </c>
      <c r="D429" s="6" t="s">
        <v>78</v>
      </c>
      <c r="E429" s="7" t="str">
        <f aca="false">IF(D429="PRE","N/A", 
IF(D429="SUP",I429, 
IF(D429="Single-choice",I429, 
IF(D429="Single-choice w/ correct",I429, 
IF(D429="Series", LEFT(I429, FIND("    ",I429)
))))))</f>
        <v>How acceptable do you think it is for law enforcement to do each of the following during a criminal investigation where public safety is at risk? </v>
      </c>
      <c r="F429" s="8" t="str">
        <f aca="false">IF(D429="PRE",I429,
IF(D429="SUP",I429,
IF(D429="Single-choice","N/A",
IF(D429="Single-choice w/ correct","N/A",
IF(D429="Series", RIGHT(I429, LEN(I429) - FIND("    ",I429)-3
))))))</f>
        <v>Break the passcode on a user’s phone to get access to its contents</v>
      </c>
      <c r="G429" s="6" t="s">
        <v>365</v>
      </c>
      <c r="H429" s="6" t="s">
        <v>370</v>
      </c>
      <c r="I429" s="9" t="s">
        <v>371</v>
      </c>
      <c r="J429" s="6" t="n">
        <v>1</v>
      </c>
      <c r="K429" s="6" t="s">
        <v>234</v>
      </c>
    </row>
    <row r="430" customFormat="false" ht="34.2" hidden="false" customHeight="false" outlineLevel="0" collapsed="false">
      <c r="A430" s="1" t="s">
        <v>13</v>
      </c>
      <c r="B430" s="1" t="s">
        <v>172</v>
      </c>
      <c r="C430" s="1" t="str">
        <f aca="false">IF(D430="PRE","N/A",
IF(D430="SUP","N/A",
IF(D430="Single-choice",H430,
IF(D430="Single-choice w/ correct",H430,
IF(D430="Series", LEFT(H430,FIND("_",H430)-1) &amp; "_" &amp; MID(H430,FIND("_",H430,FIND("_",H430)+1)+1,999)
)))))</f>
        <v>ACCPTLWF2_W127</v>
      </c>
      <c r="D430" s="6" t="s">
        <v>78</v>
      </c>
      <c r="E430" s="7" t="str">
        <f aca="false">IF(D430="PRE","N/A", 
IF(D430="SUP",I430, 
IF(D430="Single-choice",I430, 
IF(D430="Single-choice w/ correct",I430, 
IF(D430="Series", LEFT(I430, FIND("    ",I430)
))))))</f>
        <v>How acceptable do you think it is for law enforcement to do each of the following during a criminal investigation where public safety is at risk? </v>
      </c>
      <c r="F430" s="8" t="str">
        <f aca="false">IF(D430="PRE",I430,
IF(D430="SUP",I430,
IF(D430="Single-choice","N/A",
IF(D430="Single-choice w/ correct","N/A",
IF(D430="Series", RIGHT(I430, LEN(I430) - FIND("    ",I430)-3
))))))</f>
        <v>Break the passcode on a user’s phone to get access to its contents</v>
      </c>
      <c r="G430" s="6" t="s">
        <v>365</v>
      </c>
      <c r="H430" s="10" t="s">
        <v>370</v>
      </c>
      <c r="I430" s="9" t="s">
        <v>371</v>
      </c>
      <c r="J430" s="10" t="n">
        <v>2</v>
      </c>
      <c r="K430" s="10" t="s">
        <v>235</v>
      </c>
    </row>
    <row r="431" customFormat="false" ht="34.2" hidden="false" customHeight="false" outlineLevel="0" collapsed="false">
      <c r="A431" s="1" t="s">
        <v>13</v>
      </c>
      <c r="B431" s="1" t="s">
        <v>172</v>
      </c>
      <c r="C431" s="1" t="str">
        <f aca="false">IF(D431="PRE","N/A",
IF(D431="SUP","N/A",
IF(D431="Single-choice",H431,
IF(D431="Single-choice w/ correct",H431,
IF(D431="Series", LEFT(H431,FIND("_",H431)-1) &amp; "_" &amp; MID(H431,FIND("_",H431,FIND("_",H431)+1)+1,999)
)))))</f>
        <v>ACCPTLWF2_W127</v>
      </c>
      <c r="D431" s="6" t="s">
        <v>78</v>
      </c>
      <c r="E431" s="7" t="str">
        <f aca="false">IF(D431="PRE","N/A", 
IF(D431="SUP",I431, 
IF(D431="Single-choice",I431, 
IF(D431="Single-choice w/ correct",I431, 
IF(D431="Series", LEFT(I431, FIND("    ",I431)
))))))</f>
        <v>How acceptable do you think it is for law enforcement to do each of the following during a criminal investigation where public safety is at risk? </v>
      </c>
      <c r="F431" s="8" t="str">
        <f aca="false">IF(D431="PRE",I431,
IF(D431="SUP",I431,
IF(D431="Single-choice","N/A",
IF(D431="Single-choice w/ correct","N/A",
IF(D431="Series", RIGHT(I431, LEN(I431) - FIND("    ",I431)-3
))))))</f>
        <v>Break the passcode on a user’s phone to get access to its contents</v>
      </c>
      <c r="G431" s="6" t="s">
        <v>365</v>
      </c>
      <c r="H431" s="10" t="s">
        <v>370</v>
      </c>
      <c r="I431" s="9" t="s">
        <v>371</v>
      </c>
      <c r="J431" s="10" t="n">
        <v>3</v>
      </c>
      <c r="K431" s="10" t="s">
        <v>236</v>
      </c>
    </row>
    <row r="432" customFormat="false" ht="34.2" hidden="false" customHeight="false" outlineLevel="0" collapsed="false">
      <c r="A432" s="1" t="s">
        <v>13</v>
      </c>
      <c r="B432" s="1" t="s">
        <v>172</v>
      </c>
      <c r="C432" s="1" t="str">
        <f aca="false">IF(D432="PRE","N/A",
IF(D432="SUP","N/A",
IF(D432="Single-choice",H432,
IF(D432="Single-choice w/ correct",H432,
IF(D432="Series", LEFT(H432,FIND("_",H432)-1) &amp; "_" &amp; MID(H432,FIND("_",H432,FIND("_",H432)+1)+1,999)
)))))</f>
        <v>ACCPTLWF2_W127</v>
      </c>
      <c r="D432" s="6" t="s">
        <v>78</v>
      </c>
      <c r="E432" s="7" t="str">
        <f aca="false">IF(D432="PRE","N/A", 
IF(D432="SUP",I432, 
IF(D432="Single-choice",I432, 
IF(D432="Single-choice w/ correct",I432, 
IF(D432="Series", LEFT(I432, FIND("    ",I432)
))))))</f>
        <v>How acceptable do you think it is for law enforcement to do each of the following during a criminal investigation where public safety is at risk? </v>
      </c>
      <c r="F432" s="8" t="str">
        <f aca="false">IF(D432="PRE",I432,
IF(D432="SUP",I432,
IF(D432="Single-choice","N/A",
IF(D432="Single-choice w/ correct","N/A",
IF(D432="Series", RIGHT(I432, LEN(I432) - FIND("    ",I432)-3
))))))</f>
        <v>Break the passcode on a user’s phone to get access to its contents</v>
      </c>
      <c r="G432" s="6" t="s">
        <v>365</v>
      </c>
      <c r="H432" s="10" t="s">
        <v>370</v>
      </c>
      <c r="I432" s="9" t="s">
        <v>371</v>
      </c>
      <c r="J432" s="10" t="n">
        <v>4</v>
      </c>
      <c r="K432" s="10" t="s">
        <v>237</v>
      </c>
    </row>
    <row r="433" customFormat="false" ht="34.2" hidden="false" customHeight="false" outlineLevel="0" collapsed="false">
      <c r="A433" s="1" t="s">
        <v>13</v>
      </c>
      <c r="B433" s="1" t="s">
        <v>172</v>
      </c>
      <c r="C433" s="1" t="str">
        <f aca="false">IF(D433="PRE","N/A",
IF(D433="SUP","N/A",
IF(D433="Single-choice",H433,
IF(D433="Single-choice w/ correct",H433,
IF(D433="Series", LEFT(H433,FIND("_",H433)-1) &amp; "_" &amp; MID(H433,FIND("_",H433,FIND("_",H433)+1)+1,999)
)))))</f>
        <v>ACCPTLWF2_W127</v>
      </c>
      <c r="D433" s="6" t="s">
        <v>78</v>
      </c>
      <c r="E433" s="7" t="str">
        <f aca="false">IF(D433="PRE","N/A", 
IF(D433="SUP",I433, 
IF(D433="Single-choice",I433, 
IF(D433="Single-choice w/ correct",I433, 
IF(D433="Series", LEFT(I433, FIND("    ",I433)
))))))</f>
        <v>How acceptable do you think it is for law enforcement to do each of the following during a criminal investigation where public safety is at risk? </v>
      </c>
      <c r="F433" s="8" t="str">
        <f aca="false">IF(D433="PRE",I433,
IF(D433="SUP",I433,
IF(D433="Single-choice","N/A",
IF(D433="Single-choice w/ correct","N/A",
IF(D433="Series", RIGHT(I433, LEN(I433) - FIND("    ",I433)-3
))))))</f>
        <v>Break the passcode on a user’s phone to get access to its contents</v>
      </c>
      <c r="G433" s="6" t="s">
        <v>365</v>
      </c>
      <c r="H433" s="10" t="s">
        <v>370</v>
      </c>
      <c r="I433" s="9" t="s">
        <v>371</v>
      </c>
      <c r="J433" s="10" t="n">
        <v>5</v>
      </c>
      <c r="K433" s="10" t="s">
        <v>124</v>
      </c>
    </row>
    <row r="434" customFormat="false" ht="34.2" hidden="false" customHeight="false" outlineLevel="0" collapsed="false">
      <c r="A434" s="1" t="s">
        <v>13</v>
      </c>
      <c r="B434" s="1" t="s">
        <v>172</v>
      </c>
      <c r="C434" s="1" t="str">
        <f aca="false">IF(D434="PRE","N/A",
IF(D434="SUP","N/A",
IF(D434="Single-choice",H434,
IF(D434="Single-choice w/ correct",H434,
IF(D434="Series", LEFT(H434,FIND("_",H434)-1) &amp; "_" &amp; MID(H434,FIND("_",H434,FIND("_",H434)+1)+1,999)
)))))</f>
        <v>ACCPTLWF2_W127</v>
      </c>
      <c r="D434" s="6" t="s">
        <v>78</v>
      </c>
      <c r="E434" s="7" t="str">
        <f aca="false">IF(D434="PRE","N/A", 
IF(D434="SUP",I434, 
IF(D434="Single-choice",I434, 
IF(D434="Single-choice w/ correct",I434, 
IF(D434="Series", LEFT(I434, FIND("    ",I434)
))))))</f>
        <v>How acceptable do you think it is for law enforcement to do each of the following during a criminal investigation where public safety is at risk? </v>
      </c>
      <c r="F434" s="8" t="str">
        <f aca="false">IF(D434="PRE",I434,
IF(D434="SUP",I434,
IF(D434="Single-choice","N/A",
IF(D434="Single-choice w/ correct","N/A",
IF(D434="Series", RIGHT(I434, LEN(I434) - FIND("    ",I434)-3
))))))</f>
        <v>Break the passcode on a user’s phone to get access to its contents</v>
      </c>
      <c r="G434" s="6" t="s">
        <v>365</v>
      </c>
      <c r="H434" s="10" t="s">
        <v>370</v>
      </c>
      <c r="I434" s="9" t="s">
        <v>371</v>
      </c>
      <c r="J434" s="10" t="n">
        <v>99</v>
      </c>
      <c r="K434" s="10" t="s">
        <v>64</v>
      </c>
    </row>
    <row r="435" customFormat="false" ht="15" hidden="false" customHeight="true" outlineLevel="0" collapsed="false">
      <c r="A435" s="1" t="s">
        <v>13</v>
      </c>
      <c r="B435" s="1" t="s">
        <v>172</v>
      </c>
      <c r="C435" s="1" t="str">
        <f aca="false">IF(D435="PRE","N/A",
IF(D435="SUP","N/A",
IF(D435="Single-choice",H435,
IF(D435="Single-choice w/ correct",H435,
IF(D435="Series", LEFT(H435,FIND("_",H435)-1) &amp; "_" &amp; MID(H435,FIND("_",H435,FIND("_",H435)+1)+1,999)
)))))</f>
        <v>ACCPTLWF2_W127</v>
      </c>
      <c r="D435" s="6" t="s">
        <v>78</v>
      </c>
      <c r="E435" s="7" t="str">
        <f aca="false">IF(D435="PRE","N/A", 
IF(D435="SUP",I435, 
IF(D435="Single-choice",I435, 
IF(D435="Single-choice w/ correct",I435, 
IF(D435="Series", LEFT(I435, FIND("    ",I435)
))))))</f>
        <v>How acceptable do you think it is for law enforcement to do each of the following during a criminal investigation where public safety is at risk? </v>
      </c>
      <c r="F435" s="8" t="str">
        <f aca="false">IF(D435="PRE",I435,
IF(D435="SUP",I435,
IF(D435="Single-choice","N/A",
IF(D435="Single-choice w/ correct","N/A",
IF(D435="Series", RIGHT(I435, LEN(I435) - FIND("    ",I435)-3
))))))</f>
        <v>Use information from cell phone towers to track where someone is</v>
      </c>
      <c r="G435" s="6" t="s">
        <v>365</v>
      </c>
      <c r="H435" s="6" t="s">
        <v>372</v>
      </c>
      <c r="I435" s="9" t="s">
        <v>373</v>
      </c>
      <c r="J435" s="6" t="n">
        <v>1</v>
      </c>
      <c r="K435" s="6" t="s">
        <v>234</v>
      </c>
    </row>
    <row r="436" customFormat="false" ht="34.2" hidden="false" customHeight="false" outlineLevel="0" collapsed="false">
      <c r="A436" s="1" t="s">
        <v>13</v>
      </c>
      <c r="B436" s="1" t="s">
        <v>172</v>
      </c>
      <c r="C436" s="1" t="str">
        <f aca="false">IF(D436="PRE","N/A",
IF(D436="SUP","N/A",
IF(D436="Single-choice",H436,
IF(D436="Single-choice w/ correct",H436,
IF(D436="Series", LEFT(H436,FIND("_",H436)-1) &amp; "_" &amp; MID(H436,FIND("_",H436,FIND("_",H436)+1)+1,999)
)))))</f>
        <v>ACCPTLWF2_W127</v>
      </c>
      <c r="D436" s="6" t="s">
        <v>78</v>
      </c>
      <c r="E436" s="7" t="str">
        <f aca="false">IF(D436="PRE","N/A", 
IF(D436="SUP",I436, 
IF(D436="Single-choice",I436, 
IF(D436="Single-choice w/ correct",I436, 
IF(D436="Series", LEFT(I436, FIND("    ",I436)
))))))</f>
        <v>How acceptable do you think it is for law enforcement to do each of the following during a criminal investigation where public safety is at risk? </v>
      </c>
      <c r="F436" s="8" t="str">
        <f aca="false">IF(D436="PRE",I436,
IF(D436="SUP",I436,
IF(D436="Single-choice","N/A",
IF(D436="Single-choice w/ correct","N/A",
IF(D436="Series", RIGHT(I436, LEN(I436) - FIND("    ",I436)-3
))))))</f>
        <v>Use information from cell phone towers to track where someone is</v>
      </c>
      <c r="G436" s="6" t="s">
        <v>365</v>
      </c>
      <c r="H436" s="10" t="s">
        <v>372</v>
      </c>
      <c r="I436" s="9" t="s">
        <v>373</v>
      </c>
      <c r="J436" s="10" t="n">
        <v>2</v>
      </c>
      <c r="K436" s="10" t="s">
        <v>235</v>
      </c>
    </row>
    <row r="437" customFormat="false" ht="34.2" hidden="false" customHeight="false" outlineLevel="0" collapsed="false">
      <c r="A437" s="1" t="s">
        <v>13</v>
      </c>
      <c r="B437" s="1" t="s">
        <v>172</v>
      </c>
      <c r="C437" s="1" t="str">
        <f aca="false">IF(D437="PRE","N/A",
IF(D437="SUP","N/A",
IF(D437="Single-choice",H437,
IF(D437="Single-choice w/ correct",H437,
IF(D437="Series", LEFT(H437,FIND("_",H437)-1) &amp; "_" &amp; MID(H437,FIND("_",H437,FIND("_",H437)+1)+1,999)
)))))</f>
        <v>ACCPTLWF2_W127</v>
      </c>
      <c r="D437" s="6" t="s">
        <v>78</v>
      </c>
      <c r="E437" s="7" t="str">
        <f aca="false">IF(D437="PRE","N/A", 
IF(D437="SUP",I437, 
IF(D437="Single-choice",I437, 
IF(D437="Single-choice w/ correct",I437, 
IF(D437="Series", LEFT(I437, FIND("    ",I437)
))))))</f>
        <v>How acceptable do you think it is for law enforcement to do each of the following during a criminal investigation where public safety is at risk? </v>
      </c>
      <c r="F437" s="8" t="str">
        <f aca="false">IF(D437="PRE",I437,
IF(D437="SUP",I437,
IF(D437="Single-choice","N/A",
IF(D437="Single-choice w/ correct","N/A",
IF(D437="Series", RIGHT(I437, LEN(I437) - FIND("    ",I437)-3
))))))</f>
        <v>Use information from cell phone towers to track where someone is</v>
      </c>
      <c r="G437" s="6" t="s">
        <v>365</v>
      </c>
      <c r="H437" s="10" t="s">
        <v>372</v>
      </c>
      <c r="I437" s="9" t="s">
        <v>373</v>
      </c>
      <c r="J437" s="10" t="n">
        <v>3</v>
      </c>
      <c r="K437" s="10" t="s">
        <v>236</v>
      </c>
    </row>
    <row r="438" customFormat="false" ht="34.2" hidden="false" customHeight="false" outlineLevel="0" collapsed="false">
      <c r="A438" s="1" t="s">
        <v>13</v>
      </c>
      <c r="B438" s="1" t="s">
        <v>172</v>
      </c>
      <c r="C438" s="1" t="str">
        <f aca="false">IF(D438="PRE","N/A",
IF(D438="SUP","N/A",
IF(D438="Single-choice",H438,
IF(D438="Single-choice w/ correct",H438,
IF(D438="Series", LEFT(H438,FIND("_",H438)-1) &amp; "_" &amp; MID(H438,FIND("_",H438,FIND("_",H438)+1)+1,999)
)))))</f>
        <v>ACCPTLWF2_W127</v>
      </c>
      <c r="D438" s="6" t="s">
        <v>78</v>
      </c>
      <c r="E438" s="7" t="str">
        <f aca="false">IF(D438="PRE","N/A", 
IF(D438="SUP",I438, 
IF(D438="Single-choice",I438, 
IF(D438="Single-choice w/ correct",I438, 
IF(D438="Series", LEFT(I438, FIND("    ",I438)
))))))</f>
        <v>How acceptable do you think it is for law enforcement to do each of the following during a criminal investigation where public safety is at risk? </v>
      </c>
      <c r="F438" s="8" t="str">
        <f aca="false">IF(D438="PRE",I438,
IF(D438="SUP",I438,
IF(D438="Single-choice","N/A",
IF(D438="Single-choice w/ correct","N/A",
IF(D438="Series", RIGHT(I438, LEN(I438) - FIND("    ",I438)-3
))))))</f>
        <v>Use information from cell phone towers to track where someone is</v>
      </c>
      <c r="G438" s="6" t="s">
        <v>365</v>
      </c>
      <c r="H438" s="10" t="s">
        <v>372</v>
      </c>
      <c r="I438" s="9" t="s">
        <v>373</v>
      </c>
      <c r="J438" s="10" t="n">
        <v>4</v>
      </c>
      <c r="K438" s="10" t="s">
        <v>237</v>
      </c>
    </row>
    <row r="439" customFormat="false" ht="34.2" hidden="false" customHeight="false" outlineLevel="0" collapsed="false">
      <c r="A439" s="1" t="s">
        <v>13</v>
      </c>
      <c r="B439" s="1" t="s">
        <v>172</v>
      </c>
      <c r="C439" s="1" t="str">
        <f aca="false">IF(D439="PRE","N/A",
IF(D439="SUP","N/A",
IF(D439="Single-choice",H439,
IF(D439="Single-choice w/ correct",H439,
IF(D439="Series", LEFT(H439,FIND("_",H439)-1) &amp; "_" &amp; MID(H439,FIND("_",H439,FIND("_",H439)+1)+1,999)
)))))</f>
        <v>ACCPTLWF2_W127</v>
      </c>
      <c r="D439" s="6" t="s">
        <v>78</v>
      </c>
      <c r="E439" s="7" t="str">
        <f aca="false">IF(D439="PRE","N/A", 
IF(D439="SUP",I439, 
IF(D439="Single-choice",I439, 
IF(D439="Single-choice w/ correct",I439, 
IF(D439="Series", LEFT(I439, FIND("    ",I439)
))))))</f>
        <v>How acceptable do you think it is for law enforcement to do each of the following during a criminal investigation where public safety is at risk? </v>
      </c>
      <c r="F439" s="8" t="str">
        <f aca="false">IF(D439="PRE",I439,
IF(D439="SUP",I439,
IF(D439="Single-choice","N/A",
IF(D439="Single-choice w/ correct","N/A",
IF(D439="Series", RIGHT(I439, LEN(I439) - FIND("    ",I439)-3
))))))</f>
        <v>Use information from cell phone towers to track where someone is</v>
      </c>
      <c r="G439" s="6" t="s">
        <v>365</v>
      </c>
      <c r="H439" s="10" t="s">
        <v>372</v>
      </c>
      <c r="I439" s="9" t="s">
        <v>373</v>
      </c>
      <c r="J439" s="10" t="n">
        <v>5</v>
      </c>
      <c r="K439" s="10" t="s">
        <v>124</v>
      </c>
    </row>
    <row r="440" customFormat="false" ht="34.2" hidden="false" customHeight="false" outlineLevel="0" collapsed="false">
      <c r="A440" s="1" t="s">
        <v>13</v>
      </c>
      <c r="B440" s="1" t="s">
        <v>172</v>
      </c>
      <c r="C440" s="1" t="str">
        <f aca="false">IF(D440="PRE","N/A",
IF(D440="SUP","N/A",
IF(D440="Single-choice",H440,
IF(D440="Single-choice w/ correct",H440,
IF(D440="Series", LEFT(H440,FIND("_",H440)-1) &amp; "_" &amp; MID(H440,FIND("_",H440,FIND("_",H440)+1)+1,999)
)))))</f>
        <v>ACCPTLWF2_W127</v>
      </c>
      <c r="D440" s="6" t="s">
        <v>78</v>
      </c>
      <c r="E440" s="7" t="str">
        <f aca="false">IF(D440="PRE","N/A", 
IF(D440="SUP",I440, 
IF(D440="Single-choice",I440, 
IF(D440="Single-choice w/ correct",I440, 
IF(D440="Series", LEFT(I440, FIND("    ",I440)
))))))</f>
        <v>How acceptable do you think it is for law enforcement to do each of the following during a criminal investigation where public safety is at risk? </v>
      </c>
      <c r="F440" s="8" t="str">
        <f aca="false">IF(D440="PRE",I440,
IF(D440="SUP",I440,
IF(D440="Single-choice","N/A",
IF(D440="Single-choice w/ correct","N/A",
IF(D440="Series", RIGHT(I440, LEN(I440) - FIND("    ",I440)-3
))))))</f>
        <v>Use information from cell phone towers to track where someone is</v>
      </c>
      <c r="G440" s="6" t="s">
        <v>365</v>
      </c>
      <c r="H440" s="10" t="s">
        <v>372</v>
      </c>
      <c r="I440" s="9" t="s">
        <v>373</v>
      </c>
      <c r="J440" s="10" t="n">
        <v>99</v>
      </c>
      <c r="K440" s="10" t="s">
        <v>64</v>
      </c>
    </row>
    <row r="441" customFormat="false" ht="15" hidden="false" customHeight="true" outlineLevel="0" collapsed="false">
      <c r="A441" s="1" t="s">
        <v>13</v>
      </c>
      <c r="B441" s="1" t="s">
        <v>172</v>
      </c>
      <c r="C441" s="1" t="str">
        <f aca="false">IF(D441="PRE","N/A",
IF(D441="SUP","N/A",
IF(D441="Single-choice",H441,
IF(D441="Single-choice w/ correct",H441,
IF(D441="Series", LEFT(H441,FIND("_",H441)-1) &amp; "_" &amp; MID(H441,FIND("_",H441,FIND("_",H441)+1)+1,999)
)))))</f>
        <v>AI_HEARD_W127</v>
      </c>
      <c r="D441" s="6" t="s">
        <v>55</v>
      </c>
      <c r="E441" s="7" t="str">
        <f aca="false">IF(D441="PRE","N/A", 
IF(D441="SUP",I441, 
IF(D441="Single-choice",I441, 
IF(D441="Single-choice w/ correct",I441, 
IF(D441="Series", LEFT(I441, FIND("    ",I441)
))))))</f>
        <v>How much have you heard or read about AI?</v>
      </c>
      <c r="F441" s="8" t="str">
        <f aca="false">IF(D441="PRE",I441,
IF(D441="SUP",I441,
IF(D441="Single-choice","N/A",
IF(D441="Single-choice w/ correct","N/A",
IF(D441="Series", RIGHT(I441, LEN(I441) - FIND("    ",I441)-3
))))))</f>
        <v>N/A</v>
      </c>
      <c r="G441" s="6" t="s">
        <v>56</v>
      </c>
      <c r="H441" s="6" t="s">
        <v>374</v>
      </c>
      <c r="I441" s="9" t="s">
        <v>375</v>
      </c>
      <c r="J441" s="6" t="n">
        <v>1</v>
      </c>
      <c r="K441" s="6" t="s">
        <v>376</v>
      </c>
    </row>
    <row r="442" customFormat="false" ht="15" hidden="false" customHeight="false" outlineLevel="0" collapsed="false">
      <c r="A442" s="1" t="s">
        <v>13</v>
      </c>
      <c r="B442" s="1" t="s">
        <v>172</v>
      </c>
      <c r="C442" s="1" t="str">
        <f aca="false">IF(D442="PRE","N/A",
IF(D442="SUP","N/A",
IF(D442="Single-choice",H442,
IF(D442="Single-choice w/ correct",H442,
IF(D442="Series", LEFT(H442,FIND("_",H442)-1) &amp; "_" &amp; MID(H442,FIND("_",H442,FIND("_",H442)+1)+1,999)
)))))</f>
        <v>AI_HEARD_W127</v>
      </c>
      <c r="D442" s="6" t="s">
        <v>55</v>
      </c>
      <c r="E442" s="7" t="str">
        <f aca="false">IF(D442="PRE","N/A", 
IF(D442="SUP",I442, 
IF(D442="Single-choice",I442, 
IF(D442="Single-choice w/ correct",I442, 
IF(D442="Series", LEFT(I442, FIND("    ",I442)
))))))</f>
        <v>How much have you heard or read about AI?</v>
      </c>
      <c r="F442" s="8" t="str">
        <f aca="false">IF(D442="PRE",I442,
IF(D442="SUP",I442,
IF(D442="Single-choice","N/A",
IF(D442="Single-choice w/ correct","N/A",
IF(D442="Series", RIGHT(I442, LEN(I442) - FIND("    ",I442)-3
))))))</f>
        <v>N/A</v>
      </c>
      <c r="G442" s="6" t="s">
        <v>56</v>
      </c>
      <c r="H442" s="10" t="s">
        <v>374</v>
      </c>
      <c r="I442" s="9" t="s">
        <v>375</v>
      </c>
      <c r="J442" s="10" t="n">
        <v>2</v>
      </c>
      <c r="K442" s="10" t="s">
        <v>377</v>
      </c>
    </row>
    <row r="443" customFormat="false" ht="15" hidden="false" customHeight="false" outlineLevel="0" collapsed="false">
      <c r="A443" s="1" t="s">
        <v>13</v>
      </c>
      <c r="B443" s="1" t="s">
        <v>172</v>
      </c>
      <c r="C443" s="1" t="str">
        <f aca="false">IF(D443="PRE","N/A",
IF(D443="SUP","N/A",
IF(D443="Single-choice",H443,
IF(D443="Single-choice w/ correct",H443,
IF(D443="Series", LEFT(H443,FIND("_",H443)-1) &amp; "_" &amp; MID(H443,FIND("_",H443,FIND("_",H443)+1)+1,999)
)))))</f>
        <v>AI_HEARD_W127</v>
      </c>
      <c r="D443" s="6" t="s">
        <v>55</v>
      </c>
      <c r="E443" s="7" t="str">
        <f aca="false">IF(D443="PRE","N/A", 
IF(D443="SUP",I443, 
IF(D443="Single-choice",I443, 
IF(D443="Single-choice w/ correct",I443, 
IF(D443="Series", LEFT(I443, FIND("    ",I443)
))))))</f>
        <v>How much have you heard or read about AI?</v>
      </c>
      <c r="F443" s="8" t="str">
        <f aca="false">IF(D443="PRE",I443,
IF(D443="SUP",I443,
IF(D443="Single-choice","N/A",
IF(D443="Single-choice w/ correct","N/A",
IF(D443="Series", RIGHT(I443, LEN(I443) - FIND("    ",I443)-3
))))))</f>
        <v>N/A</v>
      </c>
      <c r="G443" s="6" t="s">
        <v>56</v>
      </c>
      <c r="H443" s="10" t="s">
        <v>374</v>
      </c>
      <c r="I443" s="9" t="s">
        <v>375</v>
      </c>
      <c r="J443" s="10" t="n">
        <v>3</v>
      </c>
      <c r="K443" s="10" t="s">
        <v>378</v>
      </c>
    </row>
    <row r="444" customFormat="false" ht="15" hidden="false" customHeight="false" outlineLevel="0" collapsed="false">
      <c r="A444" s="1" t="s">
        <v>13</v>
      </c>
      <c r="B444" s="1" t="s">
        <v>172</v>
      </c>
      <c r="C444" s="1" t="str">
        <f aca="false">IF(D444="PRE","N/A",
IF(D444="SUP","N/A",
IF(D444="Single-choice",H444,
IF(D444="Single-choice w/ correct",H444,
IF(D444="Series", LEFT(H444,FIND("_",H444)-1) &amp; "_" &amp; MID(H444,FIND("_",H444,FIND("_",H444)+1)+1,999)
)))))</f>
        <v>AI_HEARD_W127</v>
      </c>
      <c r="D444" s="6" t="s">
        <v>55</v>
      </c>
      <c r="E444" s="7" t="str">
        <f aca="false">IF(D444="PRE","N/A", 
IF(D444="SUP",I444, 
IF(D444="Single-choice",I444, 
IF(D444="Single-choice w/ correct",I444, 
IF(D444="Series", LEFT(I444, FIND("    ",I444)
))))))</f>
        <v>How much have you heard or read about AI?</v>
      </c>
      <c r="F444" s="8" t="str">
        <f aca="false">IF(D444="PRE",I444,
IF(D444="SUP",I444,
IF(D444="Single-choice","N/A",
IF(D444="Single-choice w/ correct","N/A",
IF(D444="Series", RIGHT(I444, LEN(I444) - FIND("    ",I444)-3
))))))</f>
        <v>N/A</v>
      </c>
      <c r="G444" s="6" t="s">
        <v>56</v>
      </c>
      <c r="H444" s="10" t="s">
        <v>374</v>
      </c>
      <c r="I444" s="9" t="s">
        <v>375</v>
      </c>
      <c r="J444" s="10" t="n">
        <v>99</v>
      </c>
      <c r="K444" s="10" t="s">
        <v>64</v>
      </c>
    </row>
    <row r="445" customFormat="false" ht="15" hidden="false" customHeight="true" outlineLevel="0" collapsed="false">
      <c r="A445" s="1" t="s">
        <v>13</v>
      </c>
      <c r="B445" s="1" t="s">
        <v>172</v>
      </c>
      <c r="C445" s="1" t="str">
        <f aca="false">IF(D445="PRE","N/A",
IF(D445="SUP","N/A",
IF(D445="Single-choice",H445,
IF(D445="Single-choice w/ correct",H445,
IF(D445="Series", LEFT(H445,FIND("_",H445)-1) &amp; "_" &amp; MID(H445,FIND("_",H445,FIND("_",H445)+1)+1,999)
)))))</f>
        <v>AIPRIV2_W127</v>
      </c>
      <c r="D445" s="6" t="s">
        <v>78</v>
      </c>
      <c r="E445" s="7" t="str">
        <f aca="false">IF(D445="PRE","N/A", 
IF(D445="SUP",I445, 
IF(D445="Single-choice",I445, 
IF(D445="Single-choice w/ correct",I445, 
IF(D445="Series", LEFT(I445, FIND("    ",I445)
))))))</f>
        <v>As companies use AI to collect and analyze personal details and information, do you think this information will be used in ways… </v>
      </c>
      <c r="F445" s="8" t="str">
        <f aca="false">IF(D445="PRE",I445,
IF(D445="SUP",I445,
IF(D445="Single-choice","N/A",
IF(D445="Single-choice w/ correct","N/A",
IF(D445="Series", RIGHT(I445, LEN(I445) - FIND("    ",I445)-3
))))))</f>
        <v>People would not be comfortable with</v>
      </c>
      <c r="G445" s="6" t="s">
        <v>379</v>
      </c>
      <c r="H445" s="6" t="s">
        <v>380</v>
      </c>
      <c r="I445" s="9" t="s">
        <v>381</v>
      </c>
      <c r="J445" s="6" t="n">
        <v>1</v>
      </c>
      <c r="K445" s="6" t="s">
        <v>382</v>
      </c>
    </row>
    <row r="446" customFormat="false" ht="34.2" hidden="false" customHeight="false" outlineLevel="0" collapsed="false">
      <c r="A446" s="1" t="s">
        <v>13</v>
      </c>
      <c r="B446" s="1" t="s">
        <v>172</v>
      </c>
      <c r="C446" s="1" t="str">
        <f aca="false">IF(D446="PRE","N/A",
IF(D446="SUP","N/A",
IF(D446="Single-choice",H446,
IF(D446="Single-choice w/ correct",H446,
IF(D446="Series", LEFT(H446,FIND("_",H446)-1) &amp; "_" &amp; MID(H446,FIND("_",H446,FIND("_",H446)+1)+1,999)
)))))</f>
        <v>AIPRIV2_W127</v>
      </c>
      <c r="D446" s="6" t="s">
        <v>78</v>
      </c>
      <c r="E446" s="7" t="str">
        <f aca="false">IF(D446="PRE","N/A", 
IF(D446="SUP",I446, 
IF(D446="Single-choice",I446, 
IF(D446="Single-choice w/ correct",I446, 
IF(D446="Series", LEFT(I446, FIND("    ",I446)
))))))</f>
        <v>As companies use AI to collect and analyze personal details and information, do you think this information will be used in ways… </v>
      </c>
      <c r="F446" s="8" t="str">
        <f aca="false">IF(D446="PRE",I446,
IF(D446="SUP",I446,
IF(D446="Single-choice","N/A",
IF(D446="Single-choice w/ correct","N/A",
IF(D446="Series", RIGHT(I446, LEN(I446) - FIND("    ",I446)-3
))))))</f>
        <v>People would not be comfortable with</v>
      </c>
      <c r="G446" s="6" t="s">
        <v>379</v>
      </c>
      <c r="H446" s="10" t="s">
        <v>380</v>
      </c>
      <c r="I446" s="9" t="s">
        <v>381</v>
      </c>
      <c r="J446" s="10" t="n">
        <v>2</v>
      </c>
      <c r="K446" s="10" t="s">
        <v>383</v>
      </c>
    </row>
    <row r="447" customFormat="false" ht="34.2" hidden="false" customHeight="false" outlineLevel="0" collapsed="false">
      <c r="A447" s="1" t="s">
        <v>13</v>
      </c>
      <c r="B447" s="1" t="s">
        <v>172</v>
      </c>
      <c r="C447" s="1" t="str">
        <f aca="false">IF(D447="PRE","N/A",
IF(D447="SUP","N/A",
IF(D447="Single-choice",H447,
IF(D447="Single-choice w/ correct",H447,
IF(D447="Series", LEFT(H447,FIND("_",H447)-1) &amp; "_" &amp; MID(H447,FIND("_",H447,FIND("_",H447)+1)+1,999)
)))))</f>
        <v>AIPRIV2_W127</v>
      </c>
      <c r="D447" s="6" t="s">
        <v>78</v>
      </c>
      <c r="E447" s="7" t="str">
        <f aca="false">IF(D447="PRE","N/A", 
IF(D447="SUP",I447, 
IF(D447="Single-choice",I447, 
IF(D447="Single-choice w/ correct",I447, 
IF(D447="Series", LEFT(I447, FIND("    ",I447)
))))))</f>
        <v>As companies use AI to collect and analyze personal details and information, do you think this information will be used in ways… </v>
      </c>
      <c r="F447" s="8" t="str">
        <f aca="false">IF(D447="PRE",I447,
IF(D447="SUP",I447,
IF(D447="Single-choice","N/A",
IF(D447="Single-choice w/ correct","N/A",
IF(D447="Series", RIGHT(I447, LEN(I447) - FIND("    ",I447)-3
))))))</f>
        <v>People would not be comfortable with</v>
      </c>
      <c r="G447" s="6" t="s">
        <v>379</v>
      </c>
      <c r="H447" s="10" t="s">
        <v>380</v>
      </c>
      <c r="I447" s="9" t="s">
        <v>381</v>
      </c>
      <c r="J447" s="10" t="n">
        <v>3</v>
      </c>
      <c r="K447" s="10" t="s">
        <v>384</v>
      </c>
    </row>
    <row r="448" customFormat="false" ht="34.2" hidden="false" customHeight="false" outlineLevel="0" collapsed="false">
      <c r="A448" s="1" t="s">
        <v>13</v>
      </c>
      <c r="B448" s="1" t="s">
        <v>172</v>
      </c>
      <c r="C448" s="1" t="str">
        <f aca="false">IF(D448="PRE","N/A",
IF(D448="SUP","N/A",
IF(D448="Single-choice",H448,
IF(D448="Single-choice w/ correct",H448,
IF(D448="Series", LEFT(H448,FIND("_",H448)-1) &amp; "_" &amp; MID(H448,FIND("_",H448,FIND("_",H448)+1)+1,999)
)))))</f>
        <v>AIPRIV2_W127</v>
      </c>
      <c r="D448" s="6" t="s">
        <v>78</v>
      </c>
      <c r="E448" s="7" t="str">
        <f aca="false">IF(D448="PRE","N/A", 
IF(D448="SUP",I448, 
IF(D448="Single-choice",I448, 
IF(D448="Single-choice w/ correct",I448, 
IF(D448="Series", LEFT(I448, FIND("    ",I448)
))))))</f>
        <v>As companies use AI to collect and analyze personal details and information, do you think this information will be used in ways… </v>
      </c>
      <c r="F448" s="8" t="str">
        <f aca="false">IF(D448="PRE",I448,
IF(D448="SUP",I448,
IF(D448="Single-choice","N/A",
IF(D448="Single-choice w/ correct","N/A",
IF(D448="Series", RIGHT(I448, LEN(I448) - FIND("    ",I448)-3
))))))</f>
        <v>People would not be comfortable with</v>
      </c>
      <c r="G448" s="6" t="s">
        <v>379</v>
      </c>
      <c r="H448" s="10" t="s">
        <v>380</v>
      </c>
      <c r="I448" s="9" t="s">
        <v>381</v>
      </c>
      <c r="J448" s="10" t="n">
        <v>4</v>
      </c>
      <c r="K448" s="10" t="s">
        <v>385</v>
      </c>
    </row>
    <row r="449" customFormat="false" ht="34.2" hidden="false" customHeight="false" outlineLevel="0" collapsed="false">
      <c r="A449" s="1" t="s">
        <v>13</v>
      </c>
      <c r="B449" s="1" t="s">
        <v>172</v>
      </c>
      <c r="C449" s="1" t="str">
        <f aca="false">IF(D449="PRE","N/A",
IF(D449="SUP","N/A",
IF(D449="Single-choice",H449,
IF(D449="Single-choice w/ correct",H449,
IF(D449="Series", LEFT(H449,FIND("_",H449)-1) &amp; "_" &amp; MID(H449,FIND("_",H449,FIND("_",H449)+1)+1,999)
)))))</f>
        <v>AIPRIV2_W127</v>
      </c>
      <c r="D449" s="6" t="s">
        <v>78</v>
      </c>
      <c r="E449" s="7" t="str">
        <f aca="false">IF(D449="PRE","N/A", 
IF(D449="SUP",I449, 
IF(D449="Single-choice",I449, 
IF(D449="Single-choice w/ correct",I449, 
IF(D449="Series", LEFT(I449, FIND("    ",I449)
))))))</f>
        <v>As companies use AI to collect and analyze personal details and information, do you think this information will be used in ways… </v>
      </c>
      <c r="F449" s="8" t="str">
        <f aca="false">IF(D449="PRE",I449,
IF(D449="SUP",I449,
IF(D449="Single-choice","N/A",
IF(D449="Single-choice w/ correct","N/A",
IF(D449="Series", RIGHT(I449, LEN(I449) - FIND("    ",I449)-3
))))))</f>
        <v>People would not be comfortable with</v>
      </c>
      <c r="G449" s="6" t="s">
        <v>379</v>
      </c>
      <c r="H449" s="10" t="s">
        <v>380</v>
      </c>
      <c r="I449" s="9" t="s">
        <v>381</v>
      </c>
      <c r="J449" s="10" t="n">
        <v>5</v>
      </c>
      <c r="K449" s="10" t="s">
        <v>124</v>
      </c>
    </row>
    <row r="450" customFormat="false" ht="34.2" hidden="false" customHeight="false" outlineLevel="0" collapsed="false">
      <c r="A450" s="1" t="s">
        <v>13</v>
      </c>
      <c r="B450" s="1" t="s">
        <v>172</v>
      </c>
      <c r="C450" s="1" t="str">
        <f aca="false">IF(D450="PRE","N/A",
IF(D450="SUP","N/A",
IF(D450="Single-choice",H450,
IF(D450="Single-choice w/ correct",H450,
IF(D450="Series", LEFT(H450,FIND("_",H450)-1) &amp; "_" &amp; MID(H450,FIND("_",H450,FIND("_",H450)+1)+1,999)
)))))</f>
        <v>AIPRIV2_W127</v>
      </c>
      <c r="D450" s="6" t="s">
        <v>78</v>
      </c>
      <c r="E450" s="7" t="str">
        <f aca="false">IF(D450="PRE","N/A", 
IF(D450="SUP",I450, 
IF(D450="Single-choice",I450, 
IF(D450="Single-choice w/ correct",I450, 
IF(D450="Series", LEFT(I450, FIND("    ",I450)
))))))</f>
        <v>As companies use AI to collect and analyze personal details and information, do you think this information will be used in ways… </v>
      </c>
      <c r="F450" s="8" t="str">
        <f aca="false">IF(D450="PRE",I450,
IF(D450="SUP",I450,
IF(D450="Single-choice","N/A",
IF(D450="Single-choice w/ correct","N/A",
IF(D450="Series", RIGHT(I450, LEN(I450) - FIND("    ",I450)-3
))))))</f>
        <v>People would not be comfortable with</v>
      </c>
      <c r="G450" s="6" t="s">
        <v>379</v>
      </c>
      <c r="H450" s="10" t="s">
        <v>380</v>
      </c>
      <c r="I450" s="9" t="s">
        <v>381</v>
      </c>
      <c r="J450" s="10" t="n">
        <v>99</v>
      </c>
      <c r="K450" s="10" t="s">
        <v>64</v>
      </c>
    </row>
    <row r="451" customFormat="false" ht="15" hidden="false" customHeight="true" outlineLevel="0" collapsed="false">
      <c r="A451" s="1" t="s">
        <v>13</v>
      </c>
      <c r="B451" s="1" t="s">
        <v>172</v>
      </c>
      <c r="C451" s="1" t="str">
        <f aca="false">IF(D451="PRE","N/A",
IF(D451="SUP","N/A",
IF(D451="Single-choice",H451,
IF(D451="Single-choice w/ correct",H451,
IF(D451="Series", LEFT(H451,FIND("_",H451)-1) &amp; "_" &amp; MID(H451,FIND("_",H451,FIND("_",H451)+1)+1,999)
)))))</f>
        <v>AIPRIV2_W127</v>
      </c>
      <c r="D451" s="6" t="s">
        <v>78</v>
      </c>
      <c r="E451" s="7" t="str">
        <f aca="false">IF(D451="PRE","N/A", 
IF(D451="SUP",I451, 
IF(D451="Single-choice",I451, 
IF(D451="Single-choice w/ correct",I451, 
IF(D451="Series", LEFT(I451, FIND("    ",I451)
))))))</f>
        <v>As companies use AI to collect and analyze personal details and information, do you think this information will be used in ways… </v>
      </c>
      <c r="F451" s="8" t="str">
        <f aca="false">IF(D451="PRE",I451,
IF(D451="SUP",I451,
IF(D451="Single-choice","N/A",
IF(D451="Single-choice w/ correct","N/A",
IF(D451="Series", RIGHT(I451, LEN(I451) - FIND("    ",I451)-3
))))))</f>
        <v>That were not originally intended</v>
      </c>
      <c r="G451" s="6" t="s">
        <v>379</v>
      </c>
      <c r="H451" s="6" t="s">
        <v>386</v>
      </c>
      <c r="I451" s="9" t="s">
        <v>387</v>
      </c>
      <c r="J451" s="6" t="n">
        <v>1</v>
      </c>
      <c r="K451" s="6" t="s">
        <v>382</v>
      </c>
    </row>
    <row r="452" customFormat="false" ht="34.2" hidden="false" customHeight="false" outlineLevel="0" collapsed="false">
      <c r="A452" s="1" t="s">
        <v>13</v>
      </c>
      <c r="B452" s="1" t="s">
        <v>172</v>
      </c>
      <c r="C452" s="1" t="str">
        <f aca="false">IF(D452="PRE","N/A",
IF(D452="SUP","N/A",
IF(D452="Single-choice",H452,
IF(D452="Single-choice w/ correct",H452,
IF(D452="Series", LEFT(H452,FIND("_",H452)-1) &amp; "_" &amp; MID(H452,FIND("_",H452,FIND("_",H452)+1)+1,999)
)))))</f>
        <v>AIPRIV2_W127</v>
      </c>
      <c r="D452" s="6" t="s">
        <v>78</v>
      </c>
      <c r="E452" s="7" t="str">
        <f aca="false">IF(D452="PRE","N/A", 
IF(D452="SUP",I452, 
IF(D452="Single-choice",I452, 
IF(D452="Single-choice w/ correct",I452, 
IF(D452="Series", LEFT(I452, FIND("    ",I452)
))))))</f>
        <v>As companies use AI to collect and analyze personal details and information, do you think this information will be used in ways… </v>
      </c>
      <c r="F452" s="8" t="str">
        <f aca="false">IF(D452="PRE",I452,
IF(D452="SUP",I452,
IF(D452="Single-choice","N/A",
IF(D452="Single-choice w/ correct","N/A",
IF(D452="Series", RIGHT(I452, LEN(I452) - FIND("    ",I452)-3
))))))</f>
        <v>That were not originally intended</v>
      </c>
      <c r="G452" s="6" t="s">
        <v>379</v>
      </c>
      <c r="H452" s="10" t="s">
        <v>386</v>
      </c>
      <c r="I452" s="9" t="s">
        <v>387</v>
      </c>
      <c r="J452" s="10" t="n">
        <v>2</v>
      </c>
      <c r="K452" s="10" t="s">
        <v>383</v>
      </c>
    </row>
    <row r="453" customFormat="false" ht="34.2" hidden="false" customHeight="false" outlineLevel="0" collapsed="false">
      <c r="A453" s="1" t="s">
        <v>13</v>
      </c>
      <c r="B453" s="1" t="s">
        <v>172</v>
      </c>
      <c r="C453" s="1" t="str">
        <f aca="false">IF(D453="PRE","N/A",
IF(D453="SUP","N/A",
IF(D453="Single-choice",H453,
IF(D453="Single-choice w/ correct",H453,
IF(D453="Series", LEFT(H453,FIND("_",H453)-1) &amp; "_" &amp; MID(H453,FIND("_",H453,FIND("_",H453)+1)+1,999)
)))))</f>
        <v>AIPRIV2_W127</v>
      </c>
      <c r="D453" s="6" t="s">
        <v>78</v>
      </c>
      <c r="E453" s="7" t="str">
        <f aca="false">IF(D453="PRE","N/A", 
IF(D453="SUP",I453, 
IF(D453="Single-choice",I453, 
IF(D453="Single-choice w/ correct",I453, 
IF(D453="Series", LEFT(I453, FIND("    ",I453)
))))))</f>
        <v>As companies use AI to collect and analyze personal details and information, do you think this information will be used in ways… </v>
      </c>
      <c r="F453" s="8" t="str">
        <f aca="false">IF(D453="PRE",I453,
IF(D453="SUP",I453,
IF(D453="Single-choice","N/A",
IF(D453="Single-choice w/ correct","N/A",
IF(D453="Series", RIGHT(I453, LEN(I453) - FIND("    ",I453)-3
))))))</f>
        <v>That were not originally intended</v>
      </c>
      <c r="G453" s="6" t="s">
        <v>379</v>
      </c>
      <c r="H453" s="10" t="s">
        <v>386</v>
      </c>
      <c r="I453" s="9" t="s">
        <v>387</v>
      </c>
      <c r="J453" s="10" t="n">
        <v>3</v>
      </c>
      <c r="K453" s="10" t="s">
        <v>384</v>
      </c>
    </row>
    <row r="454" customFormat="false" ht="34.2" hidden="false" customHeight="false" outlineLevel="0" collapsed="false">
      <c r="A454" s="1" t="s">
        <v>13</v>
      </c>
      <c r="B454" s="1" t="s">
        <v>172</v>
      </c>
      <c r="C454" s="1" t="str">
        <f aca="false">IF(D454="PRE","N/A",
IF(D454="SUP","N/A",
IF(D454="Single-choice",H454,
IF(D454="Single-choice w/ correct",H454,
IF(D454="Series", LEFT(H454,FIND("_",H454)-1) &amp; "_" &amp; MID(H454,FIND("_",H454,FIND("_",H454)+1)+1,999)
)))))</f>
        <v>AIPRIV2_W127</v>
      </c>
      <c r="D454" s="6" t="s">
        <v>78</v>
      </c>
      <c r="E454" s="7" t="str">
        <f aca="false">IF(D454="PRE","N/A", 
IF(D454="SUP",I454, 
IF(D454="Single-choice",I454, 
IF(D454="Single-choice w/ correct",I454, 
IF(D454="Series", LEFT(I454, FIND("    ",I454)
))))))</f>
        <v>As companies use AI to collect and analyze personal details and information, do you think this information will be used in ways… </v>
      </c>
      <c r="F454" s="8" t="str">
        <f aca="false">IF(D454="PRE",I454,
IF(D454="SUP",I454,
IF(D454="Single-choice","N/A",
IF(D454="Single-choice w/ correct","N/A",
IF(D454="Series", RIGHT(I454, LEN(I454) - FIND("    ",I454)-3
))))))</f>
        <v>That were not originally intended</v>
      </c>
      <c r="G454" s="6" t="s">
        <v>379</v>
      </c>
      <c r="H454" s="10" t="s">
        <v>386</v>
      </c>
      <c r="I454" s="9" t="s">
        <v>387</v>
      </c>
      <c r="J454" s="10" t="n">
        <v>4</v>
      </c>
      <c r="K454" s="10" t="s">
        <v>385</v>
      </c>
    </row>
    <row r="455" customFormat="false" ht="34.2" hidden="false" customHeight="false" outlineLevel="0" collapsed="false">
      <c r="A455" s="1" t="s">
        <v>13</v>
      </c>
      <c r="B455" s="1" t="s">
        <v>172</v>
      </c>
      <c r="C455" s="1" t="str">
        <f aca="false">IF(D455="PRE","N/A",
IF(D455="SUP","N/A",
IF(D455="Single-choice",H455,
IF(D455="Single-choice w/ correct",H455,
IF(D455="Series", LEFT(H455,FIND("_",H455)-1) &amp; "_" &amp; MID(H455,FIND("_",H455,FIND("_",H455)+1)+1,999)
)))))</f>
        <v>AIPRIV2_W127</v>
      </c>
      <c r="D455" s="6" t="s">
        <v>78</v>
      </c>
      <c r="E455" s="7" t="str">
        <f aca="false">IF(D455="PRE","N/A", 
IF(D455="SUP",I455, 
IF(D455="Single-choice",I455, 
IF(D455="Single-choice w/ correct",I455, 
IF(D455="Series", LEFT(I455, FIND("    ",I455)
))))))</f>
        <v>As companies use AI to collect and analyze personal details and information, do you think this information will be used in ways… </v>
      </c>
      <c r="F455" s="8" t="str">
        <f aca="false">IF(D455="PRE",I455,
IF(D455="SUP",I455,
IF(D455="Single-choice","N/A",
IF(D455="Single-choice w/ correct","N/A",
IF(D455="Series", RIGHT(I455, LEN(I455) - FIND("    ",I455)-3
))))))</f>
        <v>That were not originally intended</v>
      </c>
      <c r="G455" s="6" t="s">
        <v>379</v>
      </c>
      <c r="H455" s="10" t="s">
        <v>386</v>
      </c>
      <c r="I455" s="9" t="s">
        <v>387</v>
      </c>
      <c r="J455" s="10" t="n">
        <v>5</v>
      </c>
      <c r="K455" s="10" t="s">
        <v>124</v>
      </c>
    </row>
    <row r="456" customFormat="false" ht="34.2" hidden="false" customHeight="false" outlineLevel="0" collapsed="false">
      <c r="A456" s="1" t="s">
        <v>13</v>
      </c>
      <c r="B456" s="1" t="s">
        <v>172</v>
      </c>
      <c r="C456" s="1" t="str">
        <f aca="false">IF(D456="PRE","N/A",
IF(D456="SUP","N/A",
IF(D456="Single-choice",H456,
IF(D456="Single-choice w/ correct",H456,
IF(D456="Series", LEFT(H456,FIND("_",H456)-1) &amp; "_" &amp; MID(H456,FIND("_",H456,FIND("_",H456)+1)+1,999)
)))))</f>
        <v>AIPRIV2_W127</v>
      </c>
      <c r="D456" s="6" t="s">
        <v>78</v>
      </c>
      <c r="E456" s="7" t="str">
        <f aca="false">IF(D456="PRE","N/A", 
IF(D456="SUP",I456, 
IF(D456="Single-choice",I456, 
IF(D456="Single-choice w/ correct",I456, 
IF(D456="Series", LEFT(I456, FIND("    ",I456)
))))))</f>
        <v>As companies use AI to collect and analyze personal details and information, do you think this information will be used in ways… </v>
      </c>
      <c r="F456" s="8" t="str">
        <f aca="false">IF(D456="PRE",I456,
IF(D456="SUP",I456,
IF(D456="Single-choice","N/A",
IF(D456="Single-choice w/ correct","N/A",
IF(D456="Series", RIGHT(I456, LEN(I456) - FIND("    ",I456)-3
))))))</f>
        <v>That were not originally intended</v>
      </c>
      <c r="G456" s="6" t="s">
        <v>379</v>
      </c>
      <c r="H456" s="10" t="s">
        <v>386</v>
      </c>
      <c r="I456" s="9" t="s">
        <v>387</v>
      </c>
      <c r="J456" s="10" t="n">
        <v>99</v>
      </c>
      <c r="K456" s="10" t="s">
        <v>64</v>
      </c>
    </row>
    <row r="457" customFormat="false" ht="15" hidden="false" customHeight="true" outlineLevel="0" collapsed="false">
      <c r="A457" s="1" t="s">
        <v>13</v>
      </c>
      <c r="B457" s="1" t="s">
        <v>172</v>
      </c>
      <c r="C457" s="1" t="str">
        <f aca="false">IF(D457="PRE","N/A",
IF(D457="SUP","N/A",
IF(D457="Single-choice",H457,
IF(D457="Single-choice w/ correct",H457,
IF(D457="Series", LEFT(H457,FIND("_",H457)-1) &amp; "_" &amp; MID(H457,FIND("_",H457,FIND("_",H457)+1)+1,999)
)))))</f>
        <v>AIPRIV2_W127</v>
      </c>
      <c r="D457" s="6" t="s">
        <v>78</v>
      </c>
      <c r="E457" s="7" t="str">
        <f aca="false">IF(D457="PRE","N/A", 
IF(D457="SUP",I457, 
IF(D457="Single-choice",I457, 
IF(D457="Single-choice w/ correct",I457, 
IF(D457="Series", LEFT(I457, FIND("    ",I457)
))))))</f>
        <v>As companies use AI to collect and analyze personal details and information, do you think this information will be used in ways… </v>
      </c>
      <c r="F457" s="8" t="str">
        <f aca="false">IF(D457="PRE",I457,
IF(D457="SUP",I457,
IF(D457="Single-choice","N/A",
IF(D457="Single-choice w/ correct","N/A",
IF(D457="Series", RIGHT(I457, LEN(I457) - FIND("    ",I457)-3
))))))</f>
        <v>That could make people’s lives easier</v>
      </c>
      <c r="G457" s="6" t="s">
        <v>379</v>
      </c>
      <c r="H457" s="6" t="s">
        <v>388</v>
      </c>
      <c r="I457" s="9" t="s">
        <v>389</v>
      </c>
      <c r="J457" s="6" t="n">
        <v>1</v>
      </c>
      <c r="K457" s="6" t="s">
        <v>382</v>
      </c>
    </row>
    <row r="458" customFormat="false" ht="34.2" hidden="false" customHeight="false" outlineLevel="0" collapsed="false">
      <c r="A458" s="1" t="s">
        <v>13</v>
      </c>
      <c r="B458" s="1" t="s">
        <v>172</v>
      </c>
      <c r="C458" s="1" t="str">
        <f aca="false">IF(D458="PRE","N/A",
IF(D458="SUP","N/A",
IF(D458="Single-choice",H458,
IF(D458="Single-choice w/ correct",H458,
IF(D458="Series", LEFT(H458,FIND("_",H458)-1) &amp; "_" &amp; MID(H458,FIND("_",H458,FIND("_",H458)+1)+1,999)
)))))</f>
        <v>AIPRIV2_W127</v>
      </c>
      <c r="D458" s="6" t="s">
        <v>78</v>
      </c>
      <c r="E458" s="7" t="str">
        <f aca="false">IF(D458="PRE","N/A", 
IF(D458="SUP",I458, 
IF(D458="Single-choice",I458, 
IF(D458="Single-choice w/ correct",I458, 
IF(D458="Series", LEFT(I458, FIND("    ",I458)
))))))</f>
        <v>As companies use AI to collect and analyze personal details and information, do you think this information will be used in ways… </v>
      </c>
      <c r="F458" s="8" t="str">
        <f aca="false">IF(D458="PRE",I458,
IF(D458="SUP",I458,
IF(D458="Single-choice","N/A",
IF(D458="Single-choice w/ correct","N/A",
IF(D458="Series", RIGHT(I458, LEN(I458) - FIND("    ",I458)-3
))))))</f>
        <v>That could make people’s lives easier</v>
      </c>
      <c r="G458" s="6" t="s">
        <v>379</v>
      </c>
      <c r="H458" s="10" t="s">
        <v>388</v>
      </c>
      <c r="I458" s="9" t="s">
        <v>389</v>
      </c>
      <c r="J458" s="10" t="n">
        <v>2</v>
      </c>
      <c r="K458" s="10" t="s">
        <v>383</v>
      </c>
    </row>
    <row r="459" customFormat="false" ht="34.2" hidden="false" customHeight="false" outlineLevel="0" collapsed="false">
      <c r="A459" s="1" t="s">
        <v>13</v>
      </c>
      <c r="B459" s="1" t="s">
        <v>172</v>
      </c>
      <c r="C459" s="1" t="str">
        <f aca="false">IF(D459="PRE","N/A",
IF(D459="SUP","N/A",
IF(D459="Single-choice",H459,
IF(D459="Single-choice w/ correct",H459,
IF(D459="Series", LEFT(H459,FIND("_",H459)-1) &amp; "_" &amp; MID(H459,FIND("_",H459,FIND("_",H459)+1)+1,999)
)))))</f>
        <v>AIPRIV2_W127</v>
      </c>
      <c r="D459" s="6" t="s">
        <v>78</v>
      </c>
      <c r="E459" s="7" t="str">
        <f aca="false">IF(D459="PRE","N/A", 
IF(D459="SUP",I459, 
IF(D459="Single-choice",I459, 
IF(D459="Single-choice w/ correct",I459, 
IF(D459="Series", LEFT(I459, FIND("    ",I459)
))))))</f>
        <v>As companies use AI to collect and analyze personal details and information, do you think this information will be used in ways… </v>
      </c>
      <c r="F459" s="8" t="str">
        <f aca="false">IF(D459="PRE",I459,
IF(D459="SUP",I459,
IF(D459="Single-choice","N/A",
IF(D459="Single-choice w/ correct","N/A",
IF(D459="Series", RIGHT(I459, LEN(I459) - FIND("    ",I459)-3
))))))</f>
        <v>That could make people’s lives easier</v>
      </c>
      <c r="G459" s="6" t="s">
        <v>379</v>
      </c>
      <c r="H459" s="10" t="s">
        <v>388</v>
      </c>
      <c r="I459" s="9" t="s">
        <v>389</v>
      </c>
      <c r="J459" s="10" t="n">
        <v>3</v>
      </c>
      <c r="K459" s="10" t="s">
        <v>384</v>
      </c>
    </row>
    <row r="460" customFormat="false" ht="34.2" hidden="false" customHeight="false" outlineLevel="0" collapsed="false">
      <c r="A460" s="1" t="s">
        <v>13</v>
      </c>
      <c r="B460" s="1" t="s">
        <v>172</v>
      </c>
      <c r="C460" s="1" t="str">
        <f aca="false">IF(D460="PRE","N/A",
IF(D460="SUP","N/A",
IF(D460="Single-choice",H460,
IF(D460="Single-choice w/ correct",H460,
IF(D460="Series", LEFT(H460,FIND("_",H460)-1) &amp; "_" &amp; MID(H460,FIND("_",H460,FIND("_",H460)+1)+1,999)
)))))</f>
        <v>AIPRIV2_W127</v>
      </c>
      <c r="D460" s="6" t="s">
        <v>78</v>
      </c>
      <c r="E460" s="7" t="str">
        <f aca="false">IF(D460="PRE","N/A", 
IF(D460="SUP",I460, 
IF(D460="Single-choice",I460, 
IF(D460="Single-choice w/ correct",I460, 
IF(D460="Series", LEFT(I460, FIND("    ",I460)
))))))</f>
        <v>As companies use AI to collect and analyze personal details and information, do you think this information will be used in ways… </v>
      </c>
      <c r="F460" s="8" t="str">
        <f aca="false">IF(D460="PRE",I460,
IF(D460="SUP",I460,
IF(D460="Single-choice","N/A",
IF(D460="Single-choice w/ correct","N/A",
IF(D460="Series", RIGHT(I460, LEN(I460) - FIND("    ",I460)-3
))))))</f>
        <v>That could make people’s lives easier</v>
      </c>
      <c r="G460" s="6" t="s">
        <v>379</v>
      </c>
      <c r="H460" s="10" t="s">
        <v>388</v>
      </c>
      <c r="I460" s="9" t="s">
        <v>389</v>
      </c>
      <c r="J460" s="10" t="n">
        <v>4</v>
      </c>
      <c r="K460" s="10" t="s">
        <v>385</v>
      </c>
    </row>
    <row r="461" customFormat="false" ht="34.2" hidden="false" customHeight="false" outlineLevel="0" collapsed="false">
      <c r="A461" s="1" t="s">
        <v>13</v>
      </c>
      <c r="B461" s="1" t="s">
        <v>172</v>
      </c>
      <c r="C461" s="1" t="str">
        <f aca="false">IF(D461="PRE","N/A",
IF(D461="SUP","N/A",
IF(D461="Single-choice",H461,
IF(D461="Single-choice w/ correct",H461,
IF(D461="Series", LEFT(H461,FIND("_",H461)-1) &amp; "_" &amp; MID(H461,FIND("_",H461,FIND("_",H461)+1)+1,999)
)))))</f>
        <v>AIPRIV2_W127</v>
      </c>
      <c r="D461" s="6" t="s">
        <v>78</v>
      </c>
      <c r="E461" s="7" t="str">
        <f aca="false">IF(D461="PRE","N/A", 
IF(D461="SUP",I461, 
IF(D461="Single-choice",I461, 
IF(D461="Single-choice w/ correct",I461, 
IF(D461="Series", LEFT(I461, FIND("    ",I461)
))))))</f>
        <v>As companies use AI to collect and analyze personal details and information, do you think this information will be used in ways… </v>
      </c>
      <c r="F461" s="8" t="str">
        <f aca="false">IF(D461="PRE",I461,
IF(D461="SUP",I461,
IF(D461="Single-choice","N/A",
IF(D461="Single-choice w/ correct","N/A",
IF(D461="Series", RIGHT(I461, LEN(I461) - FIND("    ",I461)-3
))))))</f>
        <v>That could make people’s lives easier</v>
      </c>
      <c r="G461" s="6" t="s">
        <v>379</v>
      </c>
      <c r="H461" s="10" t="s">
        <v>388</v>
      </c>
      <c r="I461" s="9" t="s">
        <v>389</v>
      </c>
      <c r="J461" s="10" t="n">
        <v>5</v>
      </c>
      <c r="K461" s="10" t="s">
        <v>124</v>
      </c>
    </row>
    <row r="462" customFormat="false" ht="34.2" hidden="false" customHeight="false" outlineLevel="0" collapsed="false">
      <c r="A462" s="1" t="s">
        <v>13</v>
      </c>
      <c r="B462" s="1" t="s">
        <v>172</v>
      </c>
      <c r="C462" s="1" t="str">
        <f aca="false">IF(D462="PRE","N/A",
IF(D462="SUP","N/A",
IF(D462="Single-choice",H462,
IF(D462="Single-choice w/ correct",H462,
IF(D462="Series", LEFT(H462,FIND("_",H462)-1) &amp; "_" &amp; MID(H462,FIND("_",H462,FIND("_",H462)+1)+1,999)
)))))</f>
        <v>AIPRIV2_W127</v>
      </c>
      <c r="D462" s="6" t="s">
        <v>78</v>
      </c>
      <c r="E462" s="7" t="str">
        <f aca="false">IF(D462="PRE","N/A", 
IF(D462="SUP",I462, 
IF(D462="Single-choice",I462, 
IF(D462="Single-choice w/ correct",I462, 
IF(D462="Series", LEFT(I462, FIND("    ",I462)
))))))</f>
        <v>As companies use AI to collect and analyze personal details and information, do you think this information will be used in ways… </v>
      </c>
      <c r="F462" s="8" t="str">
        <f aca="false">IF(D462="PRE",I462,
IF(D462="SUP",I462,
IF(D462="Single-choice","N/A",
IF(D462="Single-choice w/ correct","N/A",
IF(D462="Series", RIGHT(I462, LEN(I462) - FIND("    ",I462)-3
))))))</f>
        <v>That could make people’s lives easier</v>
      </c>
      <c r="G462" s="6" t="s">
        <v>379</v>
      </c>
      <c r="H462" s="10" t="s">
        <v>388</v>
      </c>
      <c r="I462" s="9" t="s">
        <v>389</v>
      </c>
      <c r="J462" s="10" t="n">
        <v>99</v>
      </c>
      <c r="K462" s="10" t="s">
        <v>64</v>
      </c>
    </row>
    <row r="463" customFormat="false" ht="15" hidden="false" customHeight="true" outlineLevel="0" collapsed="false">
      <c r="A463" s="1" t="s">
        <v>13</v>
      </c>
      <c r="B463" s="1" t="s">
        <v>172</v>
      </c>
      <c r="C463" s="1" t="str">
        <f aca="false">IF(D463="PRE","N/A",
IF(D463="SUP","N/A",
IF(D463="Single-choice",H463,
IF(D463="Single-choice w/ correct",H463,
IF(D463="Series", LEFT(H463,FIND("_",H463)-1) &amp; "_" &amp; MID(H463,FIND("_",H463,FIND("_",H463)+1)+1,999)
)))))</f>
        <v>AIPRIV3_W127</v>
      </c>
      <c r="D463" s="6" t="s">
        <v>55</v>
      </c>
      <c r="E463" s="7" t="str">
        <f aca="false">IF(D463="PRE","N/A", 
IF(D463="SUP",I463, 
IF(D463="Single-choice",I463, 
IF(D463="Single-choice w/ correct",I463, 
IF(D463="Series", LEFT(I463, FIND("    ",I463)
))))))</f>
        <v>How much do you trust companies to make responsible decisions about how they use AI in their products?</v>
      </c>
      <c r="F463" s="8" t="str">
        <f aca="false">IF(D463="PRE",I463,
IF(D463="SUP",I463,
IF(D463="Single-choice","N/A",
IF(D463="Single-choice w/ correct","N/A",
IF(D463="Series", RIGHT(I463, LEN(I463) - FIND("    ",I463)-3
))))))</f>
        <v>N/A</v>
      </c>
      <c r="G463" s="6" t="s">
        <v>379</v>
      </c>
      <c r="H463" s="6" t="s">
        <v>390</v>
      </c>
      <c r="I463" s="9" t="s">
        <v>391</v>
      </c>
      <c r="J463" s="6" t="n">
        <v>1</v>
      </c>
      <c r="K463" s="6" t="s">
        <v>222</v>
      </c>
    </row>
    <row r="464" customFormat="false" ht="23.3" hidden="false" customHeight="false" outlineLevel="0" collapsed="false">
      <c r="A464" s="1" t="s">
        <v>13</v>
      </c>
      <c r="B464" s="1" t="s">
        <v>172</v>
      </c>
      <c r="C464" s="1" t="str">
        <f aca="false">IF(D464="PRE","N/A",
IF(D464="SUP","N/A",
IF(D464="Single-choice",H464,
IF(D464="Single-choice w/ correct",H464,
IF(D464="Series", LEFT(H464,FIND("_",H464)-1) &amp; "_" &amp; MID(H464,FIND("_",H464,FIND("_",H464)+1)+1,999)
)))))</f>
        <v>AIPRIV3_W127</v>
      </c>
      <c r="D464" s="6" t="s">
        <v>55</v>
      </c>
      <c r="E464" s="7" t="str">
        <f aca="false">IF(D464="PRE","N/A", 
IF(D464="SUP",I464, 
IF(D464="Single-choice",I464, 
IF(D464="Single-choice w/ correct",I464, 
IF(D464="Series", LEFT(I464, FIND("    ",I464)
))))))</f>
        <v>How much do you trust companies to make responsible decisions about how they use AI in their products?</v>
      </c>
      <c r="F464" s="8" t="str">
        <f aca="false">IF(D464="PRE",I464,
IF(D464="SUP",I464,
IF(D464="Single-choice","N/A",
IF(D464="Single-choice w/ correct","N/A",
IF(D464="Series", RIGHT(I464, LEN(I464) - FIND("    ",I464)-3
))))))</f>
        <v>N/A</v>
      </c>
      <c r="G464" s="6" t="s">
        <v>379</v>
      </c>
      <c r="H464" s="10" t="s">
        <v>390</v>
      </c>
      <c r="I464" s="9" t="s">
        <v>391</v>
      </c>
      <c r="J464" s="10" t="n">
        <v>2</v>
      </c>
      <c r="K464" s="10" t="s">
        <v>223</v>
      </c>
    </row>
    <row r="465" customFormat="false" ht="23.3" hidden="false" customHeight="false" outlineLevel="0" collapsed="false">
      <c r="A465" s="1" t="s">
        <v>13</v>
      </c>
      <c r="B465" s="1" t="s">
        <v>172</v>
      </c>
      <c r="C465" s="1" t="str">
        <f aca="false">IF(D465="PRE","N/A",
IF(D465="SUP","N/A",
IF(D465="Single-choice",H465,
IF(D465="Single-choice w/ correct",H465,
IF(D465="Series", LEFT(H465,FIND("_",H465)-1) &amp; "_" &amp; MID(H465,FIND("_",H465,FIND("_",H465)+1)+1,999)
)))))</f>
        <v>AIPRIV3_W127</v>
      </c>
      <c r="D465" s="6" t="s">
        <v>55</v>
      </c>
      <c r="E465" s="7" t="str">
        <f aca="false">IF(D465="PRE","N/A", 
IF(D465="SUP",I465, 
IF(D465="Single-choice",I465, 
IF(D465="Single-choice w/ correct",I465, 
IF(D465="Series", LEFT(I465, FIND("    ",I465)
))))))</f>
        <v>How much do you trust companies to make responsible decisions about how they use AI in their products?</v>
      </c>
      <c r="F465" s="8" t="str">
        <f aca="false">IF(D465="PRE",I465,
IF(D465="SUP",I465,
IF(D465="Single-choice","N/A",
IF(D465="Single-choice w/ correct","N/A",
IF(D465="Series", RIGHT(I465, LEN(I465) - FIND("    ",I465)-3
))))))</f>
        <v>N/A</v>
      </c>
      <c r="G465" s="6" t="s">
        <v>379</v>
      </c>
      <c r="H465" s="10" t="s">
        <v>390</v>
      </c>
      <c r="I465" s="9" t="s">
        <v>391</v>
      </c>
      <c r="J465" s="10" t="n">
        <v>3</v>
      </c>
      <c r="K465" s="10" t="s">
        <v>224</v>
      </c>
    </row>
    <row r="466" customFormat="false" ht="23.3" hidden="false" customHeight="false" outlineLevel="0" collapsed="false">
      <c r="A466" s="1" t="s">
        <v>13</v>
      </c>
      <c r="B466" s="1" t="s">
        <v>172</v>
      </c>
      <c r="C466" s="1" t="str">
        <f aca="false">IF(D466="PRE","N/A",
IF(D466="SUP","N/A",
IF(D466="Single-choice",H466,
IF(D466="Single-choice w/ correct",H466,
IF(D466="Series", LEFT(H466,FIND("_",H466)-1) &amp; "_" &amp; MID(H466,FIND("_",H466,FIND("_",H466)+1)+1,999)
)))))</f>
        <v>AIPRIV3_W127</v>
      </c>
      <c r="D466" s="6" t="s">
        <v>55</v>
      </c>
      <c r="E466" s="7" t="str">
        <f aca="false">IF(D466="PRE","N/A", 
IF(D466="SUP",I466, 
IF(D466="Single-choice",I466, 
IF(D466="Single-choice w/ correct",I466, 
IF(D466="Series", LEFT(I466, FIND("    ",I466)
))))))</f>
        <v>How much do you trust companies to make responsible decisions about how they use AI in their products?</v>
      </c>
      <c r="F466" s="8" t="str">
        <f aca="false">IF(D466="PRE",I466,
IF(D466="SUP",I466,
IF(D466="Single-choice","N/A",
IF(D466="Single-choice w/ correct","N/A",
IF(D466="Series", RIGHT(I466, LEN(I466) - FIND("    ",I466)-3
))))))</f>
        <v>N/A</v>
      </c>
      <c r="G466" s="6" t="s">
        <v>379</v>
      </c>
      <c r="H466" s="10" t="s">
        <v>390</v>
      </c>
      <c r="I466" s="9" t="s">
        <v>391</v>
      </c>
      <c r="J466" s="10" t="n">
        <v>4</v>
      </c>
      <c r="K466" s="10" t="s">
        <v>262</v>
      </c>
    </row>
    <row r="467" customFormat="false" ht="23.3" hidden="false" customHeight="false" outlineLevel="0" collapsed="false">
      <c r="A467" s="1" t="s">
        <v>13</v>
      </c>
      <c r="B467" s="1" t="s">
        <v>172</v>
      </c>
      <c r="C467" s="1" t="str">
        <f aca="false">IF(D467="PRE","N/A",
IF(D467="SUP","N/A",
IF(D467="Single-choice",H467,
IF(D467="Single-choice w/ correct",H467,
IF(D467="Series", LEFT(H467,FIND("_",H467)-1) &amp; "_" &amp; MID(H467,FIND("_",H467,FIND("_",H467)+1)+1,999)
)))))</f>
        <v>AIPRIV3_W127</v>
      </c>
      <c r="D467" s="6" t="s">
        <v>55</v>
      </c>
      <c r="E467" s="7" t="str">
        <f aca="false">IF(D467="PRE","N/A", 
IF(D467="SUP",I467, 
IF(D467="Single-choice",I467, 
IF(D467="Single-choice w/ correct",I467, 
IF(D467="Series", LEFT(I467, FIND("    ",I467)
))))))</f>
        <v>How much do you trust companies to make responsible decisions about how they use AI in their products?</v>
      </c>
      <c r="F467" s="8" t="str">
        <f aca="false">IF(D467="PRE",I467,
IF(D467="SUP",I467,
IF(D467="Single-choice","N/A",
IF(D467="Single-choice w/ correct","N/A",
IF(D467="Series", RIGHT(I467, LEN(I467) - FIND("    ",I467)-3
))))))</f>
        <v>N/A</v>
      </c>
      <c r="G467" s="6" t="s">
        <v>379</v>
      </c>
      <c r="H467" s="10" t="s">
        <v>390</v>
      </c>
      <c r="I467" s="9" t="s">
        <v>391</v>
      </c>
      <c r="J467" s="10" t="n">
        <v>5</v>
      </c>
      <c r="K467" s="10" t="s">
        <v>124</v>
      </c>
    </row>
    <row r="468" customFormat="false" ht="23.3" hidden="false" customHeight="false" outlineLevel="0" collapsed="false">
      <c r="A468" s="1" t="s">
        <v>13</v>
      </c>
      <c r="B468" s="1" t="s">
        <v>172</v>
      </c>
      <c r="C468" s="1" t="str">
        <f aca="false">IF(D468="PRE","N/A",
IF(D468="SUP","N/A",
IF(D468="Single-choice",H468,
IF(D468="Single-choice w/ correct",H468,
IF(D468="Series", LEFT(H468,FIND("_",H468)-1) &amp; "_" &amp; MID(H468,FIND("_",H468,FIND("_",H468)+1)+1,999)
)))))</f>
        <v>AIPRIV3_W127</v>
      </c>
      <c r="D468" s="6" t="s">
        <v>55</v>
      </c>
      <c r="E468" s="7" t="str">
        <f aca="false">IF(D468="PRE","N/A", 
IF(D468="SUP",I468, 
IF(D468="Single-choice",I468, 
IF(D468="Single-choice w/ correct",I468, 
IF(D468="Series", LEFT(I468, FIND("    ",I468)
))))))</f>
        <v>How much do you trust companies to make responsible decisions about how they use AI in their products?</v>
      </c>
      <c r="F468" s="8" t="str">
        <f aca="false">IF(D468="PRE",I468,
IF(D468="SUP",I468,
IF(D468="Single-choice","N/A",
IF(D468="Single-choice w/ correct","N/A",
IF(D468="Series", RIGHT(I468, LEN(I468) - FIND("    ",I468)-3
))))))</f>
        <v>N/A</v>
      </c>
      <c r="G468" s="6" t="s">
        <v>379</v>
      </c>
      <c r="H468" s="10" t="s">
        <v>390</v>
      </c>
      <c r="I468" s="9" t="s">
        <v>391</v>
      </c>
      <c r="J468" s="10" t="n">
        <v>99</v>
      </c>
      <c r="K468" s="10" t="s">
        <v>64</v>
      </c>
    </row>
    <row r="469" customFormat="false" ht="15" hidden="false" customHeight="true" outlineLevel="0" collapsed="false">
      <c r="A469" s="1" t="s">
        <v>13</v>
      </c>
      <c r="B469" s="1" t="s">
        <v>172</v>
      </c>
      <c r="C469" s="1" t="str">
        <f aca="false">IF(D469="PRE","N/A",
IF(D469="SUP","N/A",
IF(D469="Single-choice",H469,
IF(D469="Single-choice w/ correct",H469,
IF(D469="Series", LEFT(H469,FIND("_",H469)-1) &amp; "_" &amp; MID(H469,FIND("_",H469,FIND("_",H469)+1)+1,999)
)))))</f>
        <v>KIDS1_W127</v>
      </c>
      <c r="D469" s="6" t="s">
        <v>55</v>
      </c>
      <c r="E469" s="7" t="str">
        <f aca="false">IF(D469="PRE","N/A", 
IF(D469="SUP",I469, 
IF(D469="Single-choice",I469, 
IF(D469="Single-choice w/ correct",I469, 
IF(D469="Series", LEFT(I469, FIND("    ",I469)
))))))</f>
        <v>Are you the parent or guardian of any children under age 18?</v>
      </c>
      <c r="F469" s="8" t="str">
        <f aca="false">IF(D469="PRE",I469,
IF(D469="SUP",I469,
IF(D469="Single-choice","N/A",
IF(D469="Single-choice w/ correct","N/A",
IF(D469="Series", RIGHT(I469, LEN(I469) - FIND("    ",I469)-3
))))))</f>
        <v>N/A</v>
      </c>
      <c r="G469" s="6" t="s">
        <v>56</v>
      </c>
      <c r="H469" s="6" t="s">
        <v>392</v>
      </c>
      <c r="I469" s="9" t="s">
        <v>393</v>
      </c>
      <c r="J469" s="6" t="n">
        <v>1</v>
      </c>
      <c r="K469" s="6" t="s">
        <v>269</v>
      </c>
    </row>
    <row r="470" customFormat="false" ht="15" hidden="false" customHeight="false" outlineLevel="0" collapsed="false">
      <c r="A470" s="1" t="s">
        <v>13</v>
      </c>
      <c r="B470" s="1" t="s">
        <v>172</v>
      </c>
      <c r="C470" s="1" t="str">
        <f aca="false">IF(D470="PRE","N/A",
IF(D470="SUP","N/A",
IF(D470="Single-choice",H470,
IF(D470="Single-choice w/ correct",H470,
IF(D470="Series", LEFT(H470,FIND("_",H470)-1) &amp; "_" &amp; MID(H470,FIND("_",H470,FIND("_",H470)+1)+1,999)
)))))</f>
        <v>KIDS1_W127</v>
      </c>
      <c r="D470" s="6" t="s">
        <v>55</v>
      </c>
      <c r="E470" s="7" t="str">
        <f aca="false">IF(D470="PRE","N/A", 
IF(D470="SUP",I470, 
IF(D470="Single-choice",I470, 
IF(D470="Single-choice w/ correct",I470, 
IF(D470="Series", LEFT(I470, FIND("    ",I470)
))))))</f>
        <v>Are you the parent or guardian of any children under age 18?</v>
      </c>
      <c r="F470" s="8" t="str">
        <f aca="false">IF(D470="PRE",I470,
IF(D470="SUP",I470,
IF(D470="Single-choice","N/A",
IF(D470="Single-choice w/ correct","N/A",
IF(D470="Series", RIGHT(I470, LEN(I470) - FIND("    ",I470)-3
))))))</f>
        <v>N/A</v>
      </c>
      <c r="G470" s="6" t="s">
        <v>56</v>
      </c>
      <c r="H470" s="10" t="s">
        <v>392</v>
      </c>
      <c r="I470" s="9" t="s">
        <v>393</v>
      </c>
      <c r="J470" s="10" t="n">
        <v>2</v>
      </c>
      <c r="K470" s="10" t="s">
        <v>270</v>
      </c>
    </row>
    <row r="471" customFormat="false" ht="15" hidden="false" customHeight="false" outlineLevel="0" collapsed="false">
      <c r="A471" s="1" t="s">
        <v>13</v>
      </c>
      <c r="B471" s="1" t="s">
        <v>172</v>
      </c>
      <c r="C471" s="1" t="str">
        <f aca="false">IF(D471="PRE","N/A",
IF(D471="SUP","N/A",
IF(D471="Single-choice",H471,
IF(D471="Single-choice w/ correct",H471,
IF(D471="Series", LEFT(H471,FIND("_",H471)-1) &amp; "_" &amp; MID(H471,FIND("_",H471,FIND("_",H471)+1)+1,999)
)))))</f>
        <v>KIDS1_W127</v>
      </c>
      <c r="D471" s="6" t="s">
        <v>55</v>
      </c>
      <c r="E471" s="7" t="str">
        <f aca="false">IF(D471="PRE","N/A", 
IF(D471="SUP",I471, 
IF(D471="Single-choice",I471, 
IF(D471="Single-choice w/ correct",I471, 
IF(D471="Series", LEFT(I471, FIND("    ",I471)
))))))</f>
        <v>Are you the parent or guardian of any children under age 18?</v>
      </c>
      <c r="F471" s="8" t="str">
        <f aca="false">IF(D471="PRE",I471,
IF(D471="SUP",I471,
IF(D471="Single-choice","N/A",
IF(D471="Single-choice w/ correct","N/A",
IF(D471="Series", RIGHT(I471, LEN(I471) - FIND("    ",I471)-3
))))))</f>
        <v>N/A</v>
      </c>
      <c r="G471" s="6" t="s">
        <v>56</v>
      </c>
      <c r="H471" s="10" t="s">
        <v>392</v>
      </c>
      <c r="I471" s="9" t="s">
        <v>393</v>
      </c>
      <c r="J471" s="10" t="n">
        <v>99</v>
      </c>
      <c r="K471" s="10" t="s">
        <v>64</v>
      </c>
    </row>
    <row r="472" customFormat="false" ht="15" hidden="false" customHeight="true" outlineLevel="0" collapsed="false">
      <c r="A472" s="1" t="s">
        <v>13</v>
      </c>
      <c r="B472" s="1" t="s">
        <v>394</v>
      </c>
      <c r="C472" s="1" t="str">
        <f aca="false">IF(D472="PRE","N/A",
IF(D472="SUP","N/A",
IF(D472="Single-choice",H472,
IF(D472="Single-choice w/ correct",H472,
IF(D472="Series", LEFT(H472,FIND("_",H472)-1) &amp; "_" &amp; MID(H472,FIND("_",H472,FIND("_",H472)+1)+1,999)
)))))</f>
        <v>FLAG1_W127</v>
      </c>
      <c r="D472" s="6" t="s">
        <v>55</v>
      </c>
      <c r="E472" s="7" t="str">
        <f aca="false">IF(D472="PRE","N/A", 
IF(D472="SUP",I472, 
IF(D472="Single-choice",I472, 
IF(D472="Single-choice w/ correct",I472, 
IF(D472="Series", LEFT(I472, FIND("    ",I472)
))))))</f>
        <v>Thinking about what it means to be a good citizen, how important is it to display the American flag?</v>
      </c>
      <c r="F472" s="8" t="str">
        <f aca="false">IF(D472="PRE",I472,
IF(D472="SUP",I472,
IF(D472="Single-choice","N/A",
IF(D472="Single-choice w/ correct","N/A",
IF(D472="Series", RIGHT(I472, LEN(I472) - FIND("    ",I472)-3
))))))</f>
        <v>N/A</v>
      </c>
      <c r="G472" s="6" t="s">
        <v>56</v>
      </c>
      <c r="H472" s="6" t="s">
        <v>395</v>
      </c>
      <c r="I472" s="9" t="s">
        <v>396</v>
      </c>
      <c r="J472" s="6" t="n">
        <v>1</v>
      </c>
      <c r="K472" s="6" t="s">
        <v>397</v>
      </c>
    </row>
    <row r="473" customFormat="false" ht="23.3" hidden="false" customHeight="false" outlineLevel="0" collapsed="false">
      <c r="A473" s="1" t="s">
        <v>13</v>
      </c>
      <c r="B473" s="1" t="s">
        <v>394</v>
      </c>
      <c r="C473" s="1" t="str">
        <f aca="false">IF(D473="PRE","N/A",
IF(D473="SUP","N/A",
IF(D473="Single-choice",H473,
IF(D473="Single-choice w/ correct",H473,
IF(D473="Series", LEFT(H473,FIND("_",H473)-1) &amp; "_" &amp; MID(H473,FIND("_",H473,FIND("_",H473)+1)+1,999)
)))))</f>
        <v>FLAG1_W127</v>
      </c>
      <c r="D473" s="6" t="s">
        <v>55</v>
      </c>
      <c r="E473" s="7" t="str">
        <f aca="false">IF(D473="PRE","N/A", 
IF(D473="SUP",I473, 
IF(D473="Single-choice",I473, 
IF(D473="Single-choice w/ correct",I473, 
IF(D473="Series", LEFT(I473, FIND("    ",I473)
))))))</f>
        <v>Thinking about what it means to be a good citizen, how important is it to display the American flag?</v>
      </c>
      <c r="F473" s="8" t="str">
        <f aca="false">IF(D473="PRE",I473,
IF(D473="SUP",I473,
IF(D473="Single-choice","N/A",
IF(D473="Single-choice w/ correct","N/A",
IF(D473="Series", RIGHT(I473, LEN(I473) - FIND("    ",I473)-3
))))))</f>
        <v>N/A</v>
      </c>
      <c r="G473" s="6" t="s">
        <v>56</v>
      </c>
      <c r="H473" s="10" t="s">
        <v>395</v>
      </c>
      <c r="I473" s="9" t="s">
        <v>396</v>
      </c>
      <c r="J473" s="10" t="n">
        <v>2</v>
      </c>
      <c r="K473" s="10" t="s">
        <v>108</v>
      </c>
    </row>
    <row r="474" customFormat="false" ht="23.3" hidden="false" customHeight="false" outlineLevel="0" collapsed="false">
      <c r="A474" s="1" t="s">
        <v>13</v>
      </c>
      <c r="B474" s="1" t="s">
        <v>394</v>
      </c>
      <c r="C474" s="1" t="str">
        <f aca="false">IF(D474="PRE","N/A",
IF(D474="SUP","N/A",
IF(D474="Single-choice",H474,
IF(D474="Single-choice w/ correct",H474,
IF(D474="Series", LEFT(H474,FIND("_",H474)-1) &amp; "_" &amp; MID(H474,FIND("_",H474,FIND("_",H474)+1)+1,999)
)))))</f>
        <v>FLAG1_W127</v>
      </c>
      <c r="D474" s="6" t="s">
        <v>55</v>
      </c>
      <c r="E474" s="7" t="str">
        <f aca="false">IF(D474="PRE","N/A", 
IF(D474="SUP",I474, 
IF(D474="Single-choice",I474, 
IF(D474="Single-choice w/ correct",I474, 
IF(D474="Series", LEFT(I474, FIND("    ",I474)
))))))</f>
        <v>Thinking about what it means to be a good citizen, how important is it to display the American flag?</v>
      </c>
      <c r="F474" s="8" t="str">
        <f aca="false">IF(D474="PRE",I474,
IF(D474="SUP",I474,
IF(D474="Single-choice","N/A",
IF(D474="Single-choice w/ correct","N/A",
IF(D474="Series", RIGHT(I474, LEN(I474) - FIND("    ",I474)-3
))))))</f>
        <v>N/A</v>
      </c>
      <c r="G474" s="6" t="s">
        <v>56</v>
      </c>
      <c r="H474" s="10" t="s">
        <v>395</v>
      </c>
      <c r="I474" s="9" t="s">
        <v>396</v>
      </c>
      <c r="J474" s="10" t="n">
        <v>3</v>
      </c>
      <c r="K474" s="10" t="s">
        <v>109</v>
      </c>
    </row>
    <row r="475" customFormat="false" ht="23.3" hidden="false" customHeight="false" outlineLevel="0" collapsed="false">
      <c r="A475" s="1" t="s">
        <v>13</v>
      </c>
      <c r="B475" s="1" t="s">
        <v>394</v>
      </c>
      <c r="C475" s="1" t="str">
        <f aca="false">IF(D475="PRE","N/A",
IF(D475="SUP","N/A",
IF(D475="Single-choice",H475,
IF(D475="Single-choice w/ correct",H475,
IF(D475="Series", LEFT(H475,FIND("_",H475)-1) &amp; "_" &amp; MID(H475,FIND("_",H475,FIND("_",H475)+1)+1,999)
)))))</f>
        <v>FLAG1_W127</v>
      </c>
      <c r="D475" s="6" t="s">
        <v>55</v>
      </c>
      <c r="E475" s="7" t="str">
        <f aca="false">IF(D475="PRE","N/A", 
IF(D475="SUP",I475, 
IF(D475="Single-choice",I475, 
IF(D475="Single-choice w/ correct",I475, 
IF(D475="Series", LEFT(I475, FIND("    ",I475)
))))))</f>
        <v>Thinking about what it means to be a good citizen, how important is it to display the American flag?</v>
      </c>
      <c r="F475" s="8" t="str">
        <f aca="false">IF(D475="PRE",I475,
IF(D475="SUP",I475,
IF(D475="Single-choice","N/A",
IF(D475="Single-choice w/ correct","N/A",
IF(D475="Series", RIGHT(I475, LEN(I475) - FIND("    ",I475)-3
))))))</f>
        <v>N/A</v>
      </c>
      <c r="G475" s="6" t="s">
        <v>56</v>
      </c>
      <c r="H475" s="10" t="s">
        <v>395</v>
      </c>
      <c r="I475" s="9" t="s">
        <v>396</v>
      </c>
      <c r="J475" s="10" t="n">
        <v>4</v>
      </c>
      <c r="K475" s="10" t="s">
        <v>398</v>
      </c>
    </row>
    <row r="476" customFormat="false" ht="23.3" hidden="false" customHeight="false" outlineLevel="0" collapsed="false">
      <c r="A476" s="1" t="s">
        <v>13</v>
      </c>
      <c r="B476" s="1" t="s">
        <v>394</v>
      </c>
      <c r="C476" s="1" t="str">
        <f aca="false">IF(D476="PRE","N/A",
IF(D476="SUP","N/A",
IF(D476="Single-choice",H476,
IF(D476="Single-choice w/ correct",H476,
IF(D476="Series", LEFT(H476,FIND("_",H476)-1) &amp; "_" &amp; MID(H476,FIND("_",H476,FIND("_",H476)+1)+1,999)
)))))</f>
        <v>FLAG1_W127</v>
      </c>
      <c r="D476" s="6" t="s">
        <v>55</v>
      </c>
      <c r="E476" s="7" t="str">
        <f aca="false">IF(D476="PRE","N/A", 
IF(D476="SUP",I476, 
IF(D476="Single-choice",I476, 
IF(D476="Single-choice w/ correct",I476, 
IF(D476="Series", LEFT(I476, FIND("    ",I476)
))))))</f>
        <v>Thinking about what it means to be a good citizen, how important is it to display the American flag?</v>
      </c>
      <c r="F476" s="8" t="str">
        <f aca="false">IF(D476="PRE",I476,
IF(D476="SUP",I476,
IF(D476="Single-choice","N/A",
IF(D476="Single-choice w/ correct","N/A",
IF(D476="Series", RIGHT(I476, LEN(I476) - FIND("    ",I476)-3
))))))</f>
        <v>N/A</v>
      </c>
      <c r="G476" s="6" t="s">
        <v>56</v>
      </c>
      <c r="H476" s="10" t="s">
        <v>395</v>
      </c>
      <c r="I476" s="9" t="s">
        <v>396</v>
      </c>
      <c r="J476" s="10" t="n">
        <v>5</v>
      </c>
      <c r="K476" s="10" t="s">
        <v>399</v>
      </c>
    </row>
    <row r="477" customFormat="false" ht="23.3" hidden="false" customHeight="false" outlineLevel="0" collapsed="false">
      <c r="A477" s="1" t="s">
        <v>13</v>
      </c>
      <c r="B477" s="1" t="s">
        <v>394</v>
      </c>
      <c r="C477" s="1" t="str">
        <f aca="false">IF(D477="PRE","N/A",
IF(D477="SUP","N/A",
IF(D477="Single-choice",H477,
IF(D477="Single-choice w/ correct",H477,
IF(D477="Series", LEFT(H477,FIND("_",H477)-1) &amp; "_" &amp; MID(H477,FIND("_",H477,FIND("_",H477)+1)+1,999)
)))))</f>
        <v>FLAG1_W127</v>
      </c>
      <c r="D477" s="6" t="s">
        <v>55</v>
      </c>
      <c r="E477" s="7" t="str">
        <f aca="false">IF(D477="PRE","N/A", 
IF(D477="SUP",I477, 
IF(D477="Single-choice",I477, 
IF(D477="Single-choice w/ correct",I477, 
IF(D477="Series", LEFT(I477, FIND("    ",I477)
))))))</f>
        <v>Thinking about what it means to be a good citizen, how important is it to display the American flag?</v>
      </c>
      <c r="F477" s="8" t="str">
        <f aca="false">IF(D477="PRE",I477,
IF(D477="SUP",I477,
IF(D477="Single-choice","N/A",
IF(D477="Single-choice w/ correct","N/A",
IF(D477="Series", RIGHT(I477, LEN(I477) - FIND("    ",I477)-3
))))))</f>
        <v>N/A</v>
      </c>
      <c r="G477" s="6" t="s">
        <v>56</v>
      </c>
      <c r="H477" s="10" t="s">
        <v>395</v>
      </c>
      <c r="I477" s="9" t="s">
        <v>396</v>
      </c>
      <c r="J477" s="10" t="n">
        <v>99</v>
      </c>
      <c r="K477" s="10" t="s">
        <v>64</v>
      </c>
    </row>
    <row r="478" customFormat="false" ht="15" hidden="false" customHeight="true" outlineLevel="0" collapsed="false">
      <c r="A478" s="1" t="s">
        <v>13</v>
      </c>
      <c r="B478" s="1" t="s">
        <v>394</v>
      </c>
      <c r="C478" s="1" t="str">
        <f aca="false">IF(D478="PRE","N/A",
IF(D478="SUP","N/A",
IF(D478="Single-choice",H478,
IF(D478="Single-choice w/ correct",H478,
IF(D478="Series", LEFT(H478,FIND("_",H478)-1) &amp; "_" &amp; MID(H478,FIND("_",H478,FIND("_",H478)+1)+1,999)
)))))</f>
        <v>FLAG2_W127</v>
      </c>
      <c r="D478" s="6" t="s">
        <v>55</v>
      </c>
      <c r="E478" s="7" t="str">
        <f aca="false">IF(D478="PRE","N/A", 
IF(D478="SUP",I478, 
IF(D478="Single-choice",I478, 
IF(D478="Single-choice w/ correct",I478, 
IF(D478="Series", LEFT(I478, FIND("    ",I478)
))))))</f>
        <v>How proud, if at all, does the American flag make you feel?</v>
      </c>
      <c r="F478" s="8" t="str">
        <f aca="false">IF(D478="PRE",I478,
IF(D478="SUP",I478,
IF(D478="Single-choice","N/A",
IF(D478="Single-choice w/ correct","N/A",
IF(D478="Series", RIGHT(I478, LEN(I478) - FIND("    ",I478)-3
))))))</f>
        <v>N/A</v>
      </c>
      <c r="G478" s="6" t="s">
        <v>56</v>
      </c>
      <c r="H478" s="6" t="s">
        <v>400</v>
      </c>
      <c r="I478" s="9" t="s">
        <v>401</v>
      </c>
      <c r="J478" s="6" t="n">
        <v>1</v>
      </c>
      <c r="K478" s="6" t="s">
        <v>402</v>
      </c>
    </row>
    <row r="479" customFormat="false" ht="15" hidden="false" customHeight="false" outlineLevel="0" collapsed="false">
      <c r="A479" s="1" t="s">
        <v>13</v>
      </c>
      <c r="B479" s="1" t="s">
        <v>394</v>
      </c>
      <c r="C479" s="1" t="str">
        <f aca="false">IF(D479="PRE","N/A",
IF(D479="SUP","N/A",
IF(D479="Single-choice",H479,
IF(D479="Single-choice w/ correct",H479,
IF(D479="Series", LEFT(H479,FIND("_",H479)-1) &amp; "_" &amp; MID(H479,FIND("_",H479,FIND("_",H479)+1)+1,999)
)))))</f>
        <v>FLAG2_W127</v>
      </c>
      <c r="D479" s="6" t="s">
        <v>55</v>
      </c>
      <c r="E479" s="7" t="str">
        <f aca="false">IF(D479="PRE","N/A", 
IF(D479="SUP",I479, 
IF(D479="Single-choice",I479, 
IF(D479="Single-choice w/ correct",I479, 
IF(D479="Series", LEFT(I479, FIND("    ",I479)
))))))</f>
        <v>How proud, if at all, does the American flag make you feel?</v>
      </c>
      <c r="F479" s="8" t="str">
        <f aca="false">IF(D479="PRE",I479,
IF(D479="SUP",I479,
IF(D479="Single-choice","N/A",
IF(D479="Single-choice w/ correct","N/A",
IF(D479="Series", RIGHT(I479, LEN(I479) - FIND("    ",I479)-3
))))))</f>
        <v>N/A</v>
      </c>
      <c r="G479" s="6" t="s">
        <v>56</v>
      </c>
      <c r="H479" s="10" t="s">
        <v>400</v>
      </c>
      <c r="I479" s="9" t="s">
        <v>401</v>
      </c>
      <c r="J479" s="10" t="n">
        <v>2</v>
      </c>
      <c r="K479" s="10" t="s">
        <v>403</v>
      </c>
    </row>
    <row r="480" customFormat="false" ht="15" hidden="false" customHeight="false" outlineLevel="0" collapsed="false">
      <c r="A480" s="1" t="s">
        <v>13</v>
      </c>
      <c r="B480" s="1" t="s">
        <v>394</v>
      </c>
      <c r="C480" s="1" t="str">
        <f aca="false">IF(D480="PRE","N/A",
IF(D480="SUP","N/A",
IF(D480="Single-choice",H480,
IF(D480="Single-choice w/ correct",H480,
IF(D480="Series", LEFT(H480,FIND("_",H480)-1) &amp; "_" &amp; MID(H480,FIND("_",H480,FIND("_",H480)+1)+1,999)
)))))</f>
        <v>FLAG2_W127</v>
      </c>
      <c r="D480" s="6" t="s">
        <v>55</v>
      </c>
      <c r="E480" s="7" t="str">
        <f aca="false">IF(D480="PRE","N/A", 
IF(D480="SUP",I480, 
IF(D480="Single-choice",I480, 
IF(D480="Single-choice w/ correct",I480, 
IF(D480="Series", LEFT(I480, FIND("    ",I480)
))))))</f>
        <v>How proud, if at all, does the American flag make you feel?</v>
      </c>
      <c r="F480" s="8" t="str">
        <f aca="false">IF(D480="PRE",I480,
IF(D480="SUP",I480,
IF(D480="Single-choice","N/A",
IF(D480="Single-choice w/ correct","N/A",
IF(D480="Series", RIGHT(I480, LEN(I480) - FIND("    ",I480)-3
))))))</f>
        <v>N/A</v>
      </c>
      <c r="G480" s="6" t="s">
        <v>56</v>
      </c>
      <c r="H480" s="10" t="s">
        <v>400</v>
      </c>
      <c r="I480" s="9" t="s">
        <v>401</v>
      </c>
      <c r="J480" s="10" t="n">
        <v>3</v>
      </c>
      <c r="K480" s="10" t="s">
        <v>404</v>
      </c>
    </row>
    <row r="481" customFormat="false" ht="15" hidden="false" customHeight="false" outlineLevel="0" collapsed="false">
      <c r="A481" s="1" t="s">
        <v>13</v>
      </c>
      <c r="B481" s="1" t="s">
        <v>394</v>
      </c>
      <c r="C481" s="1" t="str">
        <f aca="false">IF(D481="PRE","N/A",
IF(D481="SUP","N/A",
IF(D481="Single-choice",H481,
IF(D481="Single-choice w/ correct",H481,
IF(D481="Series", LEFT(H481,FIND("_",H481)-1) &amp; "_" &amp; MID(H481,FIND("_",H481,FIND("_",H481)+1)+1,999)
)))))</f>
        <v>FLAG2_W127</v>
      </c>
      <c r="D481" s="6" t="s">
        <v>55</v>
      </c>
      <c r="E481" s="7" t="str">
        <f aca="false">IF(D481="PRE","N/A", 
IF(D481="SUP",I481, 
IF(D481="Single-choice",I481, 
IF(D481="Single-choice w/ correct",I481, 
IF(D481="Series", LEFT(I481, FIND("    ",I481)
))))))</f>
        <v>How proud, if at all, does the American flag make you feel?</v>
      </c>
      <c r="F481" s="8" t="str">
        <f aca="false">IF(D481="PRE",I481,
IF(D481="SUP",I481,
IF(D481="Single-choice","N/A",
IF(D481="Single-choice w/ correct","N/A",
IF(D481="Series", RIGHT(I481, LEN(I481) - FIND("    ",I481)-3
))))))</f>
        <v>N/A</v>
      </c>
      <c r="G481" s="6" t="s">
        <v>56</v>
      </c>
      <c r="H481" s="10" t="s">
        <v>400</v>
      </c>
      <c r="I481" s="9" t="s">
        <v>401</v>
      </c>
      <c r="J481" s="10" t="n">
        <v>4</v>
      </c>
      <c r="K481" s="10" t="s">
        <v>405</v>
      </c>
    </row>
    <row r="482" customFormat="false" ht="15" hidden="false" customHeight="false" outlineLevel="0" collapsed="false">
      <c r="A482" s="1" t="s">
        <v>13</v>
      </c>
      <c r="B482" s="1" t="s">
        <v>394</v>
      </c>
      <c r="C482" s="1" t="str">
        <f aca="false">IF(D482="PRE","N/A",
IF(D482="SUP","N/A",
IF(D482="Single-choice",H482,
IF(D482="Single-choice w/ correct",H482,
IF(D482="Series", LEFT(H482,FIND("_",H482)-1) &amp; "_" &amp; MID(H482,FIND("_",H482,FIND("_",H482)+1)+1,999)
)))))</f>
        <v>FLAG2_W127</v>
      </c>
      <c r="D482" s="6" t="s">
        <v>55</v>
      </c>
      <c r="E482" s="7" t="str">
        <f aca="false">IF(D482="PRE","N/A", 
IF(D482="SUP",I482, 
IF(D482="Single-choice",I482, 
IF(D482="Single-choice w/ correct",I482, 
IF(D482="Series", LEFT(I482, FIND("    ",I482)
))))))</f>
        <v>How proud, if at all, does the American flag make you feel?</v>
      </c>
      <c r="F482" s="8" t="str">
        <f aca="false">IF(D482="PRE",I482,
IF(D482="SUP",I482,
IF(D482="Single-choice","N/A",
IF(D482="Single-choice w/ correct","N/A",
IF(D482="Series", RIGHT(I482, LEN(I482) - FIND("    ",I482)-3
))))))</f>
        <v>N/A</v>
      </c>
      <c r="G482" s="6" t="s">
        <v>56</v>
      </c>
      <c r="H482" s="10" t="s">
        <v>400</v>
      </c>
      <c r="I482" s="9" t="s">
        <v>401</v>
      </c>
      <c r="J482" s="10" t="n">
        <v>5</v>
      </c>
      <c r="K482" s="10" t="s">
        <v>406</v>
      </c>
    </row>
    <row r="483" customFormat="false" ht="15" hidden="false" customHeight="false" outlineLevel="0" collapsed="false">
      <c r="A483" s="1" t="s">
        <v>13</v>
      </c>
      <c r="B483" s="1" t="s">
        <v>394</v>
      </c>
      <c r="C483" s="1" t="str">
        <f aca="false">IF(D483="PRE","N/A",
IF(D483="SUP","N/A",
IF(D483="Single-choice",H483,
IF(D483="Single-choice w/ correct",H483,
IF(D483="Series", LEFT(H483,FIND("_",H483)-1) &amp; "_" &amp; MID(H483,FIND("_",H483,FIND("_",H483)+1)+1,999)
)))))</f>
        <v>FLAG2_W127</v>
      </c>
      <c r="D483" s="6" t="s">
        <v>55</v>
      </c>
      <c r="E483" s="7" t="str">
        <f aca="false">IF(D483="PRE","N/A", 
IF(D483="SUP",I483, 
IF(D483="Single-choice",I483, 
IF(D483="Single-choice w/ correct",I483, 
IF(D483="Series", LEFT(I483, FIND("    ",I483)
))))))</f>
        <v>How proud, if at all, does the American flag make you feel?</v>
      </c>
      <c r="F483" s="8" t="str">
        <f aca="false">IF(D483="PRE",I483,
IF(D483="SUP",I483,
IF(D483="Single-choice","N/A",
IF(D483="Single-choice w/ correct","N/A",
IF(D483="Series", RIGHT(I483, LEN(I483) - FIND("    ",I483)-3
))))))</f>
        <v>N/A</v>
      </c>
      <c r="G483" s="6" t="s">
        <v>56</v>
      </c>
      <c r="H483" s="10" t="s">
        <v>400</v>
      </c>
      <c r="I483" s="9" t="s">
        <v>401</v>
      </c>
      <c r="J483" s="10" t="n">
        <v>99</v>
      </c>
      <c r="K483" s="10" t="s">
        <v>64</v>
      </c>
    </row>
    <row r="484" customFormat="false" ht="15" hidden="false" customHeight="true" outlineLevel="0" collapsed="false">
      <c r="A484" s="1" t="s">
        <v>13</v>
      </c>
      <c r="B484" s="1" t="s">
        <v>394</v>
      </c>
      <c r="C484" s="1" t="str">
        <f aca="false">IF(D484="PRE","N/A",
IF(D484="SUP","N/A",
IF(D484="Single-choice",H484,
IF(D484="Single-choice w/ correct",H484,
IF(D484="Series", LEFT(H484,FIND("_",H484)-1) &amp; "_" &amp; MID(H484,FIND("_",H484,FIND("_",H484)+1)+1,999)
)))))</f>
        <v>FLAG3A_W127</v>
      </c>
      <c r="D484" s="6" t="s">
        <v>55</v>
      </c>
      <c r="E484" s="7" t="str">
        <f aca="false">IF(D484="PRE","N/A", 
IF(D484="SUP",I484, 
IF(D484="Single-choice",I484, 
IF(D484="Single-choice w/ correct",I484, 
IF(D484="Series", LEFT(I484, FIND("    ",I484)
))))))</f>
        <v>Do you ever display the American flag outside your home or on your car?</v>
      </c>
      <c r="F484" s="8" t="str">
        <f aca="false">IF(D484="PRE",I484,
IF(D484="SUP",I484,
IF(D484="Single-choice","N/A",
IF(D484="Single-choice w/ correct","N/A",
IF(D484="Series", RIGHT(I484, LEN(I484) - FIND("    ",I484)-3
))))))</f>
        <v>N/A</v>
      </c>
      <c r="G484" s="6" t="s">
        <v>56</v>
      </c>
      <c r="H484" s="6" t="s">
        <v>407</v>
      </c>
      <c r="I484" s="9" t="s">
        <v>408</v>
      </c>
      <c r="J484" s="6" t="n">
        <v>1</v>
      </c>
      <c r="K484" s="6" t="s">
        <v>409</v>
      </c>
    </row>
    <row r="485" customFormat="false" ht="15" hidden="false" customHeight="false" outlineLevel="0" collapsed="false">
      <c r="A485" s="1" t="s">
        <v>13</v>
      </c>
      <c r="B485" s="1" t="s">
        <v>394</v>
      </c>
      <c r="C485" s="1" t="str">
        <f aca="false">IF(D485="PRE","N/A",
IF(D485="SUP","N/A",
IF(D485="Single-choice",H485,
IF(D485="Single-choice w/ correct",H485,
IF(D485="Series", LEFT(H485,FIND("_",H485)-1) &amp; "_" &amp; MID(H485,FIND("_",H485,FIND("_",H485)+1)+1,999)
)))))</f>
        <v>FLAG3A_W127</v>
      </c>
      <c r="D485" s="6" t="s">
        <v>55</v>
      </c>
      <c r="E485" s="7" t="str">
        <f aca="false">IF(D485="PRE","N/A", 
IF(D485="SUP",I485, 
IF(D485="Single-choice",I485, 
IF(D485="Single-choice w/ correct",I485, 
IF(D485="Series", LEFT(I485, FIND("    ",I485)
))))))</f>
        <v>Do you ever display the American flag outside your home or on your car?</v>
      </c>
      <c r="F485" s="8" t="str">
        <f aca="false">IF(D485="PRE",I485,
IF(D485="SUP",I485,
IF(D485="Single-choice","N/A",
IF(D485="Single-choice w/ correct","N/A",
IF(D485="Series", RIGHT(I485, LEN(I485) - FIND("    ",I485)-3
))))))</f>
        <v>N/A</v>
      </c>
      <c r="G485" s="6" t="s">
        <v>56</v>
      </c>
      <c r="H485" s="10" t="s">
        <v>407</v>
      </c>
      <c r="I485" s="9" t="s">
        <v>408</v>
      </c>
      <c r="J485" s="10" t="n">
        <v>2</v>
      </c>
      <c r="K485" s="10" t="s">
        <v>410</v>
      </c>
    </row>
    <row r="486" customFormat="false" ht="15" hidden="false" customHeight="false" outlineLevel="0" collapsed="false">
      <c r="A486" s="1" t="s">
        <v>13</v>
      </c>
      <c r="B486" s="1" t="s">
        <v>394</v>
      </c>
      <c r="C486" s="1" t="str">
        <f aca="false">IF(D486="PRE","N/A",
IF(D486="SUP","N/A",
IF(D486="Single-choice",H486,
IF(D486="Single-choice w/ correct",H486,
IF(D486="Series", LEFT(H486,FIND("_",H486)-1) &amp; "_" &amp; MID(H486,FIND("_",H486,FIND("_",H486)+1)+1,999)
)))))</f>
        <v>FLAG3A_W127</v>
      </c>
      <c r="D486" s="6" t="s">
        <v>55</v>
      </c>
      <c r="E486" s="7" t="str">
        <f aca="false">IF(D486="PRE","N/A", 
IF(D486="SUP",I486, 
IF(D486="Single-choice",I486, 
IF(D486="Single-choice w/ correct",I486, 
IF(D486="Series", LEFT(I486, FIND("    ",I486)
))))))</f>
        <v>Do you ever display the American flag outside your home or on your car?</v>
      </c>
      <c r="F486" s="8" t="str">
        <f aca="false">IF(D486="PRE",I486,
IF(D486="SUP",I486,
IF(D486="Single-choice","N/A",
IF(D486="Single-choice w/ correct","N/A",
IF(D486="Series", RIGHT(I486, LEN(I486) - FIND("    ",I486)-3
))))))</f>
        <v>N/A</v>
      </c>
      <c r="G486" s="6" t="s">
        <v>56</v>
      </c>
      <c r="H486" s="10" t="s">
        <v>407</v>
      </c>
      <c r="I486" s="9" t="s">
        <v>408</v>
      </c>
      <c r="J486" s="10" t="n">
        <v>3</v>
      </c>
      <c r="K486" s="10" t="s">
        <v>270</v>
      </c>
    </row>
    <row r="487" customFormat="false" ht="15" hidden="false" customHeight="false" outlineLevel="0" collapsed="false">
      <c r="A487" s="1" t="s">
        <v>13</v>
      </c>
      <c r="B487" s="1" t="s">
        <v>394</v>
      </c>
      <c r="C487" s="1" t="str">
        <f aca="false">IF(D487="PRE","N/A",
IF(D487="SUP","N/A",
IF(D487="Single-choice",H487,
IF(D487="Single-choice w/ correct",H487,
IF(D487="Series", LEFT(H487,FIND("_",H487)-1) &amp; "_" &amp; MID(H487,FIND("_",H487,FIND("_",H487)+1)+1,999)
)))))</f>
        <v>FLAG3A_W127</v>
      </c>
      <c r="D487" s="6" t="s">
        <v>55</v>
      </c>
      <c r="E487" s="7" t="str">
        <f aca="false">IF(D487="PRE","N/A", 
IF(D487="SUP",I487, 
IF(D487="Single-choice",I487, 
IF(D487="Single-choice w/ correct",I487, 
IF(D487="Series", LEFT(I487, FIND("    ",I487)
))))))</f>
        <v>Do you ever display the American flag outside your home or on your car?</v>
      </c>
      <c r="F487" s="8" t="str">
        <f aca="false">IF(D487="PRE",I487,
IF(D487="SUP",I487,
IF(D487="Single-choice","N/A",
IF(D487="Single-choice w/ correct","N/A",
IF(D487="Series", RIGHT(I487, LEN(I487) - FIND("    ",I487)-3
))))))</f>
        <v>N/A</v>
      </c>
      <c r="G487" s="6" t="s">
        <v>56</v>
      </c>
      <c r="H487" s="10" t="s">
        <v>407</v>
      </c>
      <c r="I487" s="9" t="s">
        <v>408</v>
      </c>
      <c r="J487" s="10" t="n">
        <v>99</v>
      </c>
      <c r="K487" s="10" t="s">
        <v>64</v>
      </c>
    </row>
    <row r="488" customFormat="false" ht="15" hidden="false" customHeight="true" outlineLevel="0" collapsed="false">
      <c r="A488" s="1" t="s">
        <v>13</v>
      </c>
      <c r="B488" s="1" t="s">
        <v>394</v>
      </c>
      <c r="C488" s="1" t="str">
        <f aca="false">IF(D488="PRE","N/A",
IF(D488="SUP","N/A",
IF(D488="Single-choice",H488,
IF(D488="Single-choice w/ correct",H488,
IF(D488="Series", LEFT(H488,FIND("_",H488)-1) &amp; "_" &amp; MID(H488,FIND("_",H488,FIND("_",H488)+1)+1,999)
)))))</f>
        <v>FLAG3B_W127</v>
      </c>
      <c r="D488" s="6" t="s">
        <v>55</v>
      </c>
      <c r="E488" s="7" t="str">
        <f aca="false">IF(D488="PRE","N/A", 
IF(D488="SUP",I488, 
IF(D488="Single-choice",I488, 
IF(D488="Single-choice w/ correct",I488, 
IF(D488="Series", LEFT(I488, FIND("    ",I488)
))))))</f>
        <v>Do you ever display any flags other than the American flag outside your home or on your car?</v>
      </c>
      <c r="F488" s="8" t="str">
        <f aca="false">IF(D488="PRE",I488,
IF(D488="SUP",I488,
IF(D488="Single-choice","N/A",
IF(D488="Single-choice w/ correct","N/A",
IF(D488="Series", RIGHT(I488, LEN(I488) - FIND("    ",I488)-3
))))))</f>
        <v>N/A</v>
      </c>
      <c r="G488" s="6" t="s">
        <v>56</v>
      </c>
      <c r="H488" s="6" t="s">
        <v>411</v>
      </c>
      <c r="I488" s="9" t="s">
        <v>412</v>
      </c>
      <c r="J488" s="6" t="n">
        <v>1</v>
      </c>
      <c r="K488" s="6" t="s">
        <v>409</v>
      </c>
    </row>
    <row r="489" customFormat="false" ht="23.3" hidden="false" customHeight="false" outlineLevel="0" collapsed="false">
      <c r="A489" s="1" t="s">
        <v>13</v>
      </c>
      <c r="B489" s="1" t="s">
        <v>394</v>
      </c>
      <c r="C489" s="1" t="str">
        <f aca="false">IF(D489="PRE","N/A",
IF(D489="SUP","N/A",
IF(D489="Single-choice",H489,
IF(D489="Single-choice w/ correct",H489,
IF(D489="Series", LEFT(H489,FIND("_",H489)-1) &amp; "_" &amp; MID(H489,FIND("_",H489,FIND("_",H489)+1)+1,999)
)))))</f>
        <v>FLAG3B_W127</v>
      </c>
      <c r="D489" s="6" t="s">
        <v>55</v>
      </c>
      <c r="E489" s="7" t="str">
        <f aca="false">IF(D489="PRE","N/A", 
IF(D489="SUP",I489, 
IF(D489="Single-choice",I489, 
IF(D489="Single-choice w/ correct",I489, 
IF(D489="Series", LEFT(I489, FIND("    ",I489)
))))))</f>
        <v>Do you ever display any flags other than the American flag outside your home or on your car?</v>
      </c>
      <c r="F489" s="8" t="str">
        <f aca="false">IF(D489="PRE",I489,
IF(D489="SUP",I489,
IF(D489="Single-choice","N/A",
IF(D489="Single-choice w/ correct","N/A",
IF(D489="Series", RIGHT(I489, LEN(I489) - FIND("    ",I489)-3
))))))</f>
        <v>N/A</v>
      </c>
      <c r="G489" s="6" t="s">
        <v>56</v>
      </c>
      <c r="H489" s="10" t="s">
        <v>411</v>
      </c>
      <c r="I489" s="9" t="s">
        <v>412</v>
      </c>
      <c r="J489" s="10" t="n">
        <v>2</v>
      </c>
      <c r="K489" s="10" t="s">
        <v>410</v>
      </c>
    </row>
    <row r="490" customFormat="false" ht="23.3" hidden="false" customHeight="false" outlineLevel="0" collapsed="false">
      <c r="A490" s="1" t="s">
        <v>13</v>
      </c>
      <c r="B490" s="1" t="s">
        <v>394</v>
      </c>
      <c r="C490" s="1" t="str">
        <f aca="false">IF(D490="PRE","N/A",
IF(D490="SUP","N/A",
IF(D490="Single-choice",H490,
IF(D490="Single-choice w/ correct",H490,
IF(D490="Series", LEFT(H490,FIND("_",H490)-1) &amp; "_" &amp; MID(H490,FIND("_",H490,FIND("_",H490)+1)+1,999)
)))))</f>
        <v>FLAG3B_W127</v>
      </c>
      <c r="D490" s="6" t="s">
        <v>55</v>
      </c>
      <c r="E490" s="7" t="str">
        <f aca="false">IF(D490="PRE","N/A", 
IF(D490="SUP",I490, 
IF(D490="Single-choice",I490, 
IF(D490="Single-choice w/ correct",I490, 
IF(D490="Series", LEFT(I490, FIND("    ",I490)
))))))</f>
        <v>Do you ever display any flags other than the American flag outside your home or on your car?</v>
      </c>
      <c r="F490" s="8" t="str">
        <f aca="false">IF(D490="PRE",I490,
IF(D490="SUP",I490,
IF(D490="Single-choice","N/A",
IF(D490="Single-choice w/ correct","N/A",
IF(D490="Series", RIGHT(I490, LEN(I490) - FIND("    ",I490)-3
))))))</f>
        <v>N/A</v>
      </c>
      <c r="G490" s="6" t="s">
        <v>56</v>
      </c>
      <c r="H490" s="10" t="s">
        <v>411</v>
      </c>
      <c r="I490" s="9" t="s">
        <v>412</v>
      </c>
      <c r="J490" s="10" t="n">
        <v>3</v>
      </c>
      <c r="K490" s="10" t="s">
        <v>270</v>
      </c>
    </row>
    <row r="491" customFormat="false" ht="23.3" hidden="false" customHeight="false" outlineLevel="0" collapsed="false">
      <c r="A491" s="1" t="s">
        <v>13</v>
      </c>
      <c r="B491" s="1" t="s">
        <v>394</v>
      </c>
      <c r="C491" s="1" t="str">
        <f aca="false">IF(D491="PRE","N/A",
IF(D491="SUP","N/A",
IF(D491="Single-choice",H491,
IF(D491="Single-choice w/ correct",H491,
IF(D491="Series", LEFT(H491,FIND("_",H491)-1) &amp; "_" &amp; MID(H491,FIND("_",H491,FIND("_",H491)+1)+1,999)
)))))</f>
        <v>FLAG3B_W127</v>
      </c>
      <c r="D491" s="6" t="s">
        <v>55</v>
      </c>
      <c r="E491" s="7" t="str">
        <f aca="false">IF(D491="PRE","N/A", 
IF(D491="SUP",I491, 
IF(D491="Single-choice",I491, 
IF(D491="Single-choice w/ correct",I491, 
IF(D491="Series", LEFT(I491, FIND("    ",I491)
))))))</f>
        <v>Do you ever display any flags other than the American flag outside your home or on your car?</v>
      </c>
      <c r="F491" s="8" t="str">
        <f aca="false">IF(D491="PRE",I491,
IF(D491="SUP",I491,
IF(D491="Single-choice","N/A",
IF(D491="Single-choice w/ correct","N/A",
IF(D491="Series", RIGHT(I491, LEN(I491) - FIND("    ",I491)-3
))))))</f>
        <v>N/A</v>
      </c>
      <c r="G491" s="6" t="s">
        <v>56</v>
      </c>
      <c r="H491" s="10" t="s">
        <v>411</v>
      </c>
      <c r="I491" s="9" t="s">
        <v>412</v>
      </c>
      <c r="J491" s="10" t="n">
        <v>99</v>
      </c>
      <c r="K491" s="10" t="s">
        <v>64</v>
      </c>
    </row>
    <row r="492" customFormat="false" ht="15" hidden="false" customHeight="true" outlineLevel="0" collapsed="false">
      <c r="A492" s="1" t="s">
        <v>13</v>
      </c>
      <c r="B492" s="1" t="s">
        <v>394</v>
      </c>
      <c r="C492" s="1" t="str">
        <f aca="false">IF(D492="PRE","N/A",
IF(D492="SUP","N/A",
IF(D492="Single-choice",H492,
IF(D492="Single-choice w/ correct",H492,
IF(D492="Series", LEFT(H492,FIND("_",H492)-1) &amp; "_" &amp; MID(H492,FIND("_",H492,FIND("_",H492)+1)+1,999)
)))))</f>
        <v>FLAG4_W127</v>
      </c>
      <c r="D492" s="6" t="s">
        <v>55</v>
      </c>
      <c r="E492" s="7" t="str">
        <f aca="false">IF(D492="PRE","N/A", 
IF(D492="SUP",I492, 
IF(D492="Single-choice",I492, 
IF(D492="Single-choice w/ correct",I492, 
IF(D492="Series", LEFT(I492, FIND("    ",I492)
))))))</f>
        <v>How many of your neighbors, if any, display the American flag outside their homes or on their cars?</v>
      </c>
      <c r="F492" s="8" t="str">
        <f aca="false">IF(D492="PRE",I492,
IF(D492="SUP",I492,
IF(D492="Single-choice","N/A",
IF(D492="Single-choice w/ correct","N/A",
IF(D492="Series", RIGHT(I492, LEN(I492) - FIND("    ",I492)-3
))))))</f>
        <v>N/A</v>
      </c>
      <c r="G492" s="6" t="s">
        <v>56</v>
      </c>
      <c r="H492" s="6" t="s">
        <v>413</v>
      </c>
      <c r="I492" s="9" t="s">
        <v>414</v>
      </c>
      <c r="J492" s="6" t="n">
        <v>1</v>
      </c>
      <c r="K492" s="6" t="s">
        <v>415</v>
      </c>
    </row>
    <row r="493" customFormat="false" ht="23.3" hidden="false" customHeight="false" outlineLevel="0" collapsed="false">
      <c r="A493" s="1" t="s">
        <v>13</v>
      </c>
      <c r="B493" s="1" t="s">
        <v>394</v>
      </c>
      <c r="C493" s="1" t="str">
        <f aca="false">IF(D493="PRE","N/A",
IF(D493="SUP","N/A",
IF(D493="Single-choice",H493,
IF(D493="Single-choice w/ correct",H493,
IF(D493="Series", LEFT(H493,FIND("_",H493)-1) &amp; "_" &amp; MID(H493,FIND("_",H493,FIND("_",H493)+1)+1,999)
)))))</f>
        <v>FLAG4_W127</v>
      </c>
      <c r="D493" s="6" t="s">
        <v>55</v>
      </c>
      <c r="E493" s="7" t="str">
        <f aca="false">IF(D493="PRE","N/A", 
IF(D493="SUP",I493, 
IF(D493="Single-choice",I493, 
IF(D493="Single-choice w/ correct",I493, 
IF(D493="Series", LEFT(I493, FIND("    ",I493)
))))))</f>
        <v>How many of your neighbors, if any, display the American flag outside their homes or on their cars?</v>
      </c>
      <c r="F493" s="8" t="str">
        <f aca="false">IF(D493="PRE",I493,
IF(D493="SUP",I493,
IF(D493="Single-choice","N/A",
IF(D493="Single-choice w/ correct","N/A",
IF(D493="Series", RIGHT(I493, LEN(I493) - FIND("    ",I493)-3
))))))</f>
        <v>N/A</v>
      </c>
      <c r="G493" s="6" t="s">
        <v>56</v>
      </c>
      <c r="H493" s="10" t="s">
        <v>413</v>
      </c>
      <c r="I493" s="9" t="s">
        <v>414</v>
      </c>
      <c r="J493" s="10" t="n">
        <v>2</v>
      </c>
      <c r="K493" s="10" t="s">
        <v>416</v>
      </c>
    </row>
    <row r="494" customFormat="false" ht="23.3" hidden="false" customHeight="false" outlineLevel="0" collapsed="false">
      <c r="A494" s="1" t="s">
        <v>13</v>
      </c>
      <c r="B494" s="1" t="s">
        <v>394</v>
      </c>
      <c r="C494" s="1" t="str">
        <f aca="false">IF(D494="PRE","N/A",
IF(D494="SUP","N/A",
IF(D494="Single-choice",H494,
IF(D494="Single-choice w/ correct",H494,
IF(D494="Series", LEFT(H494,FIND("_",H494)-1) &amp; "_" &amp; MID(H494,FIND("_",H494,FIND("_",H494)+1)+1,999)
)))))</f>
        <v>FLAG4_W127</v>
      </c>
      <c r="D494" s="6" t="s">
        <v>55</v>
      </c>
      <c r="E494" s="7" t="str">
        <f aca="false">IF(D494="PRE","N/A", 
IF(D494="SUP",I494, 
IF(D494="Single-choice",I494, 
IF(D494="Single-choice w/ correct",I494, 
IF(D494="Series", LEFT(I494, FIND("    ",I494)
))))))</f>
        <v>How many of your neighbors, if any, display the American flag outside their homes or on their cars?</v>
      </c>
      <c r="F494" s="8" t="str">
        <f aca="false">IF(D494="PRE",I494,
IF(D494="SUP",I494,
IF(D494="Single-choice","N/A",
IF(D494="Single-choice w/ correct","N/A",
IF(D494="Series", RIGHT(I494, LEN(I494) - FIND("    ",I494)-3
))))))</f>
        <v>N/A</v>
      </c>
      <c r="G494" s="6" t="s">
        <v>56</v>
      </c>
      <c r="H494" s="10" t="s">
        <v>413</v>
      </c>
      <c r="I494" s="9" t="s">
        <v>414</v>
      </c>
      <c r="J494" s="10" t="n">
        <v>3</v>
      </c>
      <c r="K494" s="10" t="s">
        <v>417</v>
      </c>
    </row>
    <row r="495" customFormat="false" ht="23.3" hidden="false" customHeight="false" outlineLevel="0" collapsed="false">
      <c r="A495" s="1" t="s">
        <v>13</v>
      </c>
      <c r="B495" s="1" t="s">
        <v>394</v>
      </c>
      <c r="C495" s="1" t="str">
        <f aca="false">IF(D495="PRE","N/A",
IF(D495="SUP","N/A",
IF(D495="Single-choice",H495,
IF(D495="Single-choice w/ correct",H495,
IF(D495="Series", LEFT(H495,FIND("_",H495)-1) &amp; "_" &amp; MID(H495,FIND("_",H495,FIND("_",H495)+1)+1,999)
)))))</f>
        <v>FLAG4_W127</v>
      </c>
      <c r="D495" s="6" t="s">
        <v>55</v>
      </c>
      <c r="E495" s="7" t="str">
        <f aca="false">IF(D495="PRE","N/A", 
IF(D495="SUP",I495, 
IF(D495="Single-choice",I495, 
IF(D495="Single-choice w/ correct",I495, 
IF(D495="Series", LEFT(I495, FIND("    ",I495)
))))))</f>
        <v>How many of your neighbors, if any, display the American flag outside their homes or on their cars?</v>
      </c>
      <c r="F495" s="8" t="str">
        <f aca="false">IF(D495="PRE",I495,
IF(D495="SUP",I495,
IF(D495="Single-choice","N/A",
IF(D495="Single-choice w/ correct","N/A",
IF(D495="Series", RIGHT(I495, LEN(I495) - FIND("    ",I495)-3
))))))</f>
        <v>N/A</v>
      </c>
      <c r="G495" s="6" t="s">
        <v>56</v>
      </c>
      <c r="H495" s="10" t="s">
        <v>413</v>
      </c>
      <c r="I495" s="9" t="s">
        <v>414</v>
      </c>
      <c r="J495" s="10" t="n">
        <v>4</v>
      </c>
      <c r="K495" s="10" t="s">
        <v>124</v>
      </c>
    </row>
    <row r="496" customFormat="false" ht="23.3" hidden="false" customHeight="false" outlineLevel="0" collapsed="false">
      <c r="A496" s="1" t="s">
        <v>13</v>
      </c>
      <c r="B496" s="1" t="s">
        <v>394</v>
      </c>
      <c r="C496" s="1" t="str">
        <f aca="false">IF(D496="PRE","N/A",
IF(D496="SUP","N/A",
IF(D496="Single-choice",H496,
IF(D496="Single-choice w/ correct",H496,
IF(D496="Series", LEFT(H496,FIND("_",H496)-1) &amp; "_" &amp; MID(H496,FIND("_",H496,FIND("_",H496)+1)+1,999)
)))))</f>
        <v>FLAG4_W127</v>
      </c>
      <c r="D496" s="6" t="s">
        <v>55</v>
      </c>
      <c r="E496" s="7" t="str">
        <f aca="false">IF(D496="PRE","N/A", 
IF(D496="SUP",I496, 
IF(D496="Single-choice",I496, 
IF(D496="Single-choice w/ correct",I496, 
IF(D496="Series", LEFT(I496, FIND("    ",I496)
))))))</f>
        <v>How many of your neighbors, if any, display the American flag outside their homes or on their cars?</v>
      </c>
      <c r="F496" s="8" t="str">
        <f aca="false">IF(D496="PRE",I496,
IF(D496="SUP",I496,
IF(D496="Single-choice","N/A",
IF(D496="Single-choice w/ correct","N/A",
IF(D496="Series", RIGHT(I496, LEN(I496) - FIND("    ",I496)-3
))))))</f>
        <v>N/A</v>
      </c>
      <c r="G496" s="6" t="s">
        <v>56</v>
      </c>
      <c r="H496" s="10" t="s">
        <v>413</v>
      </c>
      <c r="I496" s="9" t="s">
        <v>414</v>
      </c>
      <c r="J496" s="10" t="n">
        <v>99</v>
      </c>
      <c r="K496" s="10" t="s">
        <v>64</v>
      </c>
    </row>
    <row r="497" customFormat="false" ht="15" hidden="false" customHeight="true" outlineLevel="0" collapsed="false">
      <c r="A497" s="1" t="s">
        <v>13</v>
      </c>
      <c r="B497" s="1" t="s">
        <v>418</v>
      </c>
      <c r="C497" s="1" t="str">
        <f aca="false">IF(D497="PRE","N/A",
IF(D497="SUP","N/A",
IF(D497="Single-choice",H497,
IF(D497="Single-choice w/ correct",H497,
IF(D497="Series", LEFT(H497,FIND("_",H497)-1) &amp; "_" &amp; MID(H497,FIND("_",H497,FIND("_",H497)+1)+1,999)
)))))</f>
        <v>SMBLM_W127</v>
      </c>
      <c r="D497" s="6" t="s">
        <v>78</v>
      </c>
      <c r="E497" s="7" t="str">
        <f aca="false">IF(D497="PRE","N/A", 
IF(D497="SUP",I497, 
IF(D497="Single-choice",I497, 
IF(D497="Single-choice w/ correct",I497, 
IF(D497="Series", LEFT(I497, FIND("    ",I497)
))))))</f>
        <v>Have you ever... </v>
      </c>
      <c r="F497" s="8" t="str">
        <f aca="false">IF(D497="PRE",I497,
IF(D497="SUP",I497,
IF(D497="Single-choice","N/A",
IF(D497="Single-choice w/ correct","N/A",
IF(D497="Series", RIGHT(I497, LEN(I497) - FIND("    ",I497)-3
))))))</f>
        <v>Attended a Black Lives Matter protest</v>
      </c>
      <c r="G497" s="6" t="s">
        <v>56</v>
      </c>
      <c r="H497" s="6" t="s">
        <v>419</v>
      </c>
      <c r="I497" s="9" t="s">
        <v>420</v>
      </c>
      <c r="J497" s="6" t="n">
        <v>1</v>
      </c>
      <c r="K497" s="6" t="s">
        <v>292</v>
      </c>
    </row>
    <row r="498" customFormat="false" ht="15" hidden="false" customHeight="false" outlineLevel="0" collapsed="false">
      <c r="A498" s="1" t="s">
        <v>13</v>
      </c>
      <c r="B498" s="1" t="s">
        <v>418</v>
      </c>
      <c r="C498" s="1" t="str">
        <f aca="false">IF(D498="PRE","N/A",
IF(D498="SUP","N/A",
IF(D498="Single-choice",H498,
IF(D498="Single-choice w/ correct",H498,
IF(D498="Series", LEFT(H498,FIND("_",H498)-1) &amp; "_" &amp; MID(H498,FIND("_",H498,FIND("_",H498)+1)+1,999)
)))))</f>
        <v>SMBLM_W127</v>
      </c>
      <c r="D498" s="6" t="s">
        <v>78</v>
      </c>
      <c r="E498" s="7" t="str">
        <f aca="false">IF(D498="PRE","N/A", 
IF(D498="SUP",I498, 
IF(D498="Single-choice",I498, 
IF(D498="Single-choice w/ correct",I498, 
IF(D498="Series", LEFT(I498, FIND("    ",I498)
))))))</f>
        <v>Have you ever... </v>
      </c>
      <c r="F498" s="8" t="str">
        <f aca="false">IF(D498="PRE",I498,
IF(D498="SUP",I498,
IF(D498="Single-choice","N/A",
IF(D498="Single-choice w/ correct","N/A",
IF(D498="Series", RIGHT(I498, LEN(I498) - FIND("    ",I498)-3
))))))</f>
        <v>Attended a Black Lives Matter protest</v>
      </c>
      <c r="G498" s="6" t="s">
        <v>56</v>
      </c>
      <c r="H498" s="10" t="s">
        <v>419</v>
      </c>
      <c r="I498" s="9" t="s">
        <v>420</v>
      </c>
      <c r="J498" s="10" t="n">
        <v>2</v>
      </c>
      <c r="K498" s="10" t="s">
        <v>293</v>
      </c>
    </row>
    <row r="499" customFormat="false" ht="15" hidden="false" customHeight="false" outlineLevel="0" collapsed="false">
      <c r="A499" s="1" t="s">
        <v>13</v>
      </c>
      <c r="B499" s="1" t="s">
        <v>418</v>
      </c>
      <c r="C499" s="1" t="str">
        <f aca="false">IF(D499="PRE","N/A",
IF(D499="SUP","N/A",
IF(D499="Single-choice",H499,
IF(D499="Single-choice w/ correct",H499,
IF(D499="Series", LEFT(H499,FIND("_",H499)-1) &amp; "_" &amp; MID(H499,FIND("_",H499,FIND("_",H499)+1)+1,999)
)))))</f>
        <v>SMBLM_W127</v>
      </c>
      <c r="D499" s="6" t="s">
        <v>78</v>
      </c>
      <c r="E499" s="7" t="str">
        <f aca="false">IF(D499="PRE","N/A", 
IF(D499="SUP",I499, 
IF(D499="Single-choice",I499, 
IF(D499="Single-choice w/ correct",I499, 
IF(D499="Series", LEFT(I499, FIND("    ",I499)
))))))</f>
        <v>Have you ever... </v>
      </c>
      <c r="F499" s="8" t="str">
        <f aca="false">IF(D499="PRE",I499,
IF(D499="SUP",I499,
IF(D499="Single-choice","N/A",
IF(D499="Single-choice w/ correct","N/A",
IF(D499="Series", RIGHT(I499, LEN(I499) - FIND("    ",I499)-3
))))))</f>
        <v>Attended a Black Lives Matter protest</v>
      </c>
      <c r="G499" s="6" t="s">
        <v>56</v>
      </c>
      <c r="H499" s="10" t="s">
        <v>419</v>
      </c>
      <c r="I499" s="9" t="s">
        <v>420</v>
      </c>
      <c r="J499" s="10" t="n">
        <v>99</v>
      </c>
      <c r="K499" s="10" t="s">
        <v>64</v>
      </c>
    </row>
    <row r="500" customFormat="false" ht="15" hidden="false" customHeight="true" outlineLevel="0" collapsed="false">
      <c r="A500" s="1" t="s">
        <v>13</v>
      </c>
      <c r="B500" s="1" t="s">
        <v>418</v>
      </c>
      <c r="C500" s="1" t="str">
        <f aca="false">IF(D500="PRE","N/A",
IF(D500="SUP","N/A",
IF(D500="Single-choice",H500,
IF(D500="Single-choice w/ correct",H500,
IF(D500="Series", LEFT(H500,FIND("_",H500)-1) &amp; "_" &amp; MID(H500,FIND("_",H500,FIND("_",H500)+1)+1,999)
)))))</f>
        <v>SMBLM_W127</v>
      </c>
      <c r="D500" s="6" t="s">
        <v>78</v>
      </c>
      <c r="E500" s="7" t="str">
        <f aca="false">IF(D500="PRE","N/A", 
IF(D500="SUP",I500, 
IF(D500="Single-choice",I500, 
IF(D500="Single-choice w/ correct",I500, 
IF(D500="Series", LEFT(I500, FIND("    ",I500)
))))))</f>
        <v>Have you ever... </v>
      </c>
      <c r="F500" s="8" t="str">
        <f aca="false">IF(D500="PRE",I500,
IF(D500="SUP",I500,
IF(D500="Single-choice","N/A",
IF(D500="Single-choice w/ correct","N/A",
IF(D500="Series", RIGHT(I500, LEN(I500) - FIND("    ",I500)-3
))))))</f>
        <v>Seen content on social media related to Black Lives Matter</v>
      </c>
      <c r="G500" s="6" t="s">
        <v>56</v>
      </c>
      <c r="H500" s="6" t="s">
        <v>421</v>
      </c>
      <c r="I500" s="9" t="s">
        <v>422</v>
      </c>
      <c r="J500" s="6" t="n">
        <v>1</v>
      </c>
      <c r="K500" s="6" t="s">
        <v>292</v>
      </c>
    </row>
    <row r="501" customFormat="false" ht="23.3" hidden="false" customHeight="false" outlineLevel="0" collapsed="false">
      <c r="A501" s="1" t="s">
        <v>13</v>
      </c>
      <c r="B501" s="1" t="s">
        <v>418</v>
      </c>
      <c r="C501" s="1" t="str">
        <f aca="false">IF(D501="PRE","N/A",
IF(D501="SUP","N/A",
IF(D501="Single-choice",H501,
IF(D501="Single-choice w/ correct",H501,
IF(D501="Series", LEFT(H501,FIND("_",H501)-1) &amp; "_" &amp; MID(H501,FIND("_",H501,FIND("_",H501)+1)+1,999)
)))))</f>
        <v>SMBLM_W127</v>
      </c>
      <c r="D501" s="6" t="s">
        <v>78</v>
      </c>
      <c r="E501" s="7" t="str">
        <f aca="false">IF(D501="PRE","N/A", 
IF(D501="SUP",I501, 
IF(D501="Single-choice",I501, 
IF(D501="Single-choice w/ correct",I501, 
IF(D501="Series", LEFT(I501, FIND("    ",I501)
))))))</f>
        <v>Have you ever... </v>
      </c>
      <c r="F501" s="8" t="str">
        <f aca="false">IF(D501="PRE",I501,
IF(D501="SUP",I501,
IF(D501="Single-choice","N/A",
IF(D501="Single-choice w/ correct","N/A",
IF(D501="Series", RIGHT(I501, LEN(I501) - FIND("    ",I501)-3
))))))</f>
        <v>Seen content on social media related to Black Lives Matter</v>
      </c>
      <c r="G501" s="6" t="s">
        <v>56</v>
      </c>
      <c r="H501" s="10" t="s">
        <v>421</v>
      </c>
      <c r="I501" s="9" t="s">
        <v>422</v>
      </c>
      <c r="J501" s="10" t="n">
        <v>2</v>
      </c>
      <c r="K501" s="10" t="s">
        <v>293</v>
      </c>
    </row>
    <row r="502" customFormat="false" ht="23.3" hidden="false" customHeight="false" outlineLevel="0" collapsed="false">
      <c r="A502" s="1" t="s">
        <v>13</v>
      </c>
      <c r="B502" s="1" t="s">
        <v>418</v>
      </c>
      <c r="C502" s="1" t="str">
        <f aca="false">IF(D502="PRE","N/A",
IF(D502="SUP","N/A",
IF(D502="Single-choice",H502,
IF(D502="Single-choice w/ correct",H502,
IF(D502="Series", LEFT(H502,FIND("_",H502)-1) &amp; "_" &amp; MID(H502,FIND("_",H502,FIND("_",H502)+1)+1,999)
)))))</f>
        <v>SMBLM_W127</v>
      </c>
      <c r="D502" s="6" t="s">
        <v>78</v>
      </c>
      <c r="E502" s="7" t="str">
        <f aca="false">IF(D502="PRE","N/A", 
IF(D502="SUP",I502, 
IF(D502="Single-choice",I502, 
IF(D502="Single-choice w/ correct",I502, 
IF(D502="Series", LEFT(I502, FIND("    ",I502)
))))))</f>
        <v>Have you ever... </v>
      </c>
      <c r="F502" s="8" t="str">
        <f aca="false">IF(D502="PRE",I502,
IF(D502="SUP",I502,
IF(D502="Single-choice","N/A",
IF(D502="Single-choice w/ correct","N/A",
IF(D502="Series", RIGHT(I502, LEN(I502) - FIND("    ",I502)-3
))))))</f>
        <v>Seen content on social media related to Black Lives Matter</v>
      </c>
      <c r="G502" s="6" t="s">
        <v>56</v>
      </c>
      <c r="H502" s="10" t="s">
        <v>421</v>
      </c>
      <c r="I502" s="9" t="s">
        <v>422</v>
      </c>
      <c r="J502" s="10" t="n">
        <v>99</v>
      </c>
      <c r="K502" s="10" t="s">
        <v>64</v>
      </c>
    </row>
    <row r="503" customFormat="false" ht="15" hidden="false" customHeight="true" outlineLevel="0" collapsed="false">
      <c r="A503" s="1" t="s">
        <v>13</v>
      </c>
      <c r="B503" s="1" t="s">
        <v>418</v>
      </c>
      <c r="C503" s="1" t="str">
        <f aca="false">IF(D503="PRE","N/A",
IF(D503="SUP","N/A",
IF(D503="Single-choice",H503,
IF(D503="Single-choice w/ correct",H503,
IF(D503="Series", LEFT(H503,FIND("_",H503)-1) &amp; "_" &amp; MID(H503,FIND("_",H503,FIND("_",H503)+1)+1,999)
)))))</f>
        <v>SMBLM_W127</v>
      </c>
      <c r="D503" s="6" t="s">
        <v>78</v>
      </c>
      <c r="E503" s="7" t="str">
        <f aca="false">IF(D503="PRE","N/A", 
IF(D503="SUP",I503, 
IF(D503="Single-choice",I503, 
IF(D503="Single-choice w/ correct",I503, 
IF(D503="Series", LEFT(I503, FIND("    ",I503)
))))))</f>
        <v>Have you ever... </v>
      </c>
      <c r="F503" s="8" t="str">
        <f aca="false">IF(D503="PRE",I503,
IF(D503="SUP",I503,
IF(D503="Single-choice","N/A",
IF(D503="Single-choice w/ correct","N/A",
IF(D503="Series", RIGHT(I503, LEN(I503) - FIND("    ",I503)-3
))))))</f>
        <v>Posted or shared things on social media in support of Black Lives Matter</v>
      </c>
      <c r="G503" s="6" t="s">
        <v>56</v>
      </c>
      <c r="H503" s="6" t="s">
        <v>423</v>
      </c>
      <c r="I503" s="9" t="s">
        <v>424</v>
      </c>
      <c r="J503" s="6" t="n">
        <v>1</v>
      </c>
      <c r="K503" s="6" t="s">
        <v>292</v>
      </c>
    </row>
    <row r="504" customFormat="false" ht="23.3" hidden="false" customHeight="false" outlineLevel="0" collapsed="false">
      <c r="A504" s="1" t="s">
        <v>13</v>
      </c>
      <c r="B504" s="1" t="s">
        <v>418</v>
      </c>
      <c r="C504" s="1" t="str">
        <f aca="false">IF(D504="PRE","N/A",
IF(D504="SUP","N/A",
IF(D504="Single-choice",H504,
IF(D504="Single-choice w/ correct",H504,
IF(D504="Series", LEFT(H504,FIND("_",H504)-1) &amp; "_" &amp; MID(H504,FIND("_",H504,FIND("_",H504)+1)+1,999)
)))))</f>
        <v>SMBLM_W127</v>
      </c>
      <c r="D504" s="6" t="s">
        <v>78</v>
      </c>
      <c r="E504" s="7" t="str">
        <f aca="false">IF(D504="PRE","N/A", 
IF(D504="SUP",I504, 
IF(D504="Single-choice",I504, 
IF(D504="Single-choice w/ correct",I504, 
IF(D504="Series", LEFT(I504, FIND("    ",I504)
))))))</f>
        <v>Have you ever... </v>
      </c>
      <c r="F504" s="8" t="str">
        <f aca="false">IF(D504="PRE",I504,
IF(D504="SUP",I504,
IF(D504="Single-choice","N/A",
IF(D504="Single-choice w/ correct","N/A",
IF(D504="Series", RIGHT(I504, LEN(I504) - FIND("    ",I504)-3
))))))</f>
        <v>Posted or shared things on social media in support of Black Lives Matter</v>
      </c>
      <c r="G504" s="6" t="s">
        <v>56</v>
      </c>
      <c r="H504" s="10" t="s">
        <v>423</v>
      </c>
      <c r="I504" s="9" t="s">
        <v>424</v>
      </c>
      <c r="J504" s="10" t="n">
        <v>2</v>
      </c>
      <c r="K504" s="10" t="s">
        <v>293</v>
      </c>
    </row>
    <row r="505" customFormat="false" ht="23.3" hidden="false" customHeight="false" outlineLevel="0" collapsed="false">
      <c r="A505" s="1" t="s">
        <v>13</v>
      </c>
      <c r="B505" s="1" t="s">
        <v>418</v>
      </c>
      <c r="C505" s="1" t="str">
        <f aca="false">IF(D505="PRE","N/A",
IF(D505="SUP","N/A",
IF(D505="Single-choice",H505,
IF(D505="Single-choice w/ correct",H505,
IF(D505="Series", LEFT(H505,FIND("_",H505)-1) &amp; "_" &amp; MID(H505,FIND("_",H505,FIND("_",H505)+1)+1,999)
)))))</f>
        <v>SMBLM_W127</v>
      </c>
      <c r="D505" s="6" t="s">
        <v>78</v>
      </c>
      <c r="E505" s="7" t="str">
        <f aca="false">IF(D505="PRE","N/A", 
IF(D505="SUP",I505, 
IF(D505="Single-choice",I505, 
IF(D505="Single-choice w/ correct",I505, 
IF(D505="Series", LEFT(I505, FIND("    ",I505)
))))))</f>
        <v>Have you ever... </v>
      </c>
      <c r="F505" s="8" t="str">
        <f aca="false">IF(D505="PRE",I505,
IF(D505="SUP",I505,
IF(D505="Single-choice","N/A",
IF(D505="Single-choice w/ correct","N/A",
IF(D505="Series", RIGHT(I505, LEN(I505) - FIND("    ",I505)-3
))))))</f>
        <v>Posted or shared things on social media in support of Black Lives Matter</v>
      </c>
      <c r="G505" s="6" t="s">
        <v>56</v>
      </c>
      <c r="H505" s="10" t="s">
        <v>423</v>
      </c>
      <c r="I505" s="9" t="s">
        <v>424</v>
      </c>
      <c r="J505" s="10" t="n">
        <v>99</v>
      </c>
      <c r="K505" s="10" t="s">
        <v>64</v>
      </c>
    </row>
    <row r="506" customFormat="false" ht="15" hidden="false" customHeight="true" outlineLevel="0" collapsed="false">
      <c r="A506" s="1" t="s">
        <v>13</v>
      </c>
      <c r="B506" s="1" t="s">
        <v>418</v>
      </c>
      <c r="C506" s="1" t="str">
        <f aca="false">IF(D506="PRE","N/A",
IF(D506="SUP","N/A",
IF(D506="Single-choice",H506,
IF(D506="Single-choice w/ correct",H506,
IF(D506="Series", LEFT(H506,FIND("_",H506)-1) &amp; "_" &amp; MID(H506,FIND("_",H506,FIND("_",H506)+1)+1,999)
)))))</f>
        <v>SMBLM_W127</v>
      </c>
      <c r="D506" s="6" t="s">
        <v>78</v>
      </c>
      <c r="E506" s="7" t="str">
        <f aca="false">IF(D506="PRE","N/A", 
IF(D506="SUP",I506, 
IF(D506="Single-choice",I506, 
IF(D506="Single-choice w/ correct",I506, 
IF(D506="Series", LEFT(I506, FIND("    ",I506)
))))))</f>
        <v>Have you ever... </v>
      </c>
      <c r="F506" s="8" t="str">
        <f aca="false">IF(D506="PRE",I506,
IF(D506="SUP",I506,
IF(D506="Single-choice","N/A",
IF(D506="Single-choice w/ correct","N/A",
IF(D506="Series", RIGHT(I506, LEN(I506) - FIND("    ",I506)-3
))))))</f>
        <v>Posted or shared things on social media in opposition to Black Lives Matter</v>
      </c>
      <c r="G506" s="6" t="s">
        <v>56</v>
      </c>
      <c r="H506" s="6" t="s">
        <v>425</v>
      </c>
      <c r="I506" s="9" t="s">
        <v>426</v>
      </c>
      <c r="J506" s="6" t="n">
        <v>1</v>
      </c>
      <c r="K506" s="6" t="s">
        <v>292</v>
      </c>
    </row>
    <row r="507" customFormat="false" ht="23.3" hidden="false" customHeight="false" outlineLevel="0" collapsed="false">
      <c r="A507" s="1" t="s">
        <v>13</v>
      </c>
      <c r="B507" s="1" t="s">
        <v>418</v>
      </c>
      <c r="C507" s="1" t="str">
        <f aca="false">IF(D507="PRE","N/A",
IF(D507="SUP","N/A",
IF(D507="Single-choice",H507,
IF(D507="Single-choice w/ correct",H507,
IF(D507="Series", LEFT(H507,FIND("_",H507)-1) &amp; "_" &amp; MID(H507,FIND("_",H507,FIND("_",H507)+1)+1,999)
)))))</f>
        <v>SMBLM_W127</v>
      </c>
      <c r="D507" s="6" t="s">
        <v>78</v>
      </c>
      <c r="E507" s="7" t="str">
        <f aca="false">IF(D507="PRE","N/A", 
IF(D507="SUP",I507, 
IF(D507="Single-choice",I507, 
IF(D507="Single-choice w/ correct",I507, 
IF(D507="Series", LEFT(I507, FIND("    ",I507)
))))))</f>
        <v>Have you ever... </v>
      </c>
      <c r="F507" s="8" t="str">
        <f aca="false">IF(D507="PRE",I507,
IF(D507="SUP",I507,
IF(D507="Single-choice","N/A",
IF(D507="Single-choice w/ correct","N/A",
IF(D507="Series", RIGHT(I507, LEN(I507) - FIND("    ",I507)-3
))))))</f>
        <v>Posted or shared things on social media in opposition to Black Lives Matter</v>
      </c>
      <c r="G507" s="6" t="s">
        <v>56</v>
      </c>
      <c r="H507" s="10" t="s">
        <v>425</v>
      </c>
      <c r="I507" s="9" t="s">
        <v>426</v>
      </c>
      <c r="J507" s="10" t="n">
        <v>2</v>
      </c>
      <c r="K507" s="10" t="s">
        <v>293</v>
      </c>
    </row>
    <row r="508" customFormat="false" ht="23.3" hidden="false" customHeight="false" outlineLevel="0" collapsed="false">
      <c r="A508" s="1" t="s">
        <v>13</v>
      </c>
      <c r="B508" s="1" t="s">
        <v>418</v>
      </c>
      <c r="C508" s="1" t="str">
        <f aca="false">IF(D508="PRE","N/A",
IF(D508="SUP","N/A",
IF(D508="Single-choice",H508,
IF(D508="Single-choice w/ correct",H508,
IF(D508="Series", LEFT(H508,FIND("_",H508)-1) &amp; "_" &amp; MID(H508,FIND("_",H508,FIND("_",H508)+1)+1,999)
)))))</f>
        <v>SMBLM_W127</v>
      </c>
      <c r="D508" s="6" t="s">
        <v>78</v>
      </c>
      <c r="E508" s="7" t="str">
        <f aca="false">IF(D508="PRE","N/A", 
IF(D508="SUP",I508, 
IF(D508="Single-choice",I508, 
IF(D508="Single-choice w/ correct",I508, 
IF(D508="Series", LEFT(I508, FIND("    ",I508)
))))))</f>
        <v>Have you ever... </v>
      </c>
      <c r="F508" s="8" t="str">
        <f aca="false">IF(D508="PRE",I508,
IF(D508="SUP",I508,
IF(D508="Single-choice","N/A",
IF(D508="Single-choice w/ correct","N/A",
IF(D508="Series", RIGHT(I508, LEN(I508) - FIND("    ",I508)-3
))))))</f>
        <v>Posted or shared things on social media in opposition to Black Lives Matter</v>
      </c>
      <c r="G508" s="6" t="s">
        <v>56</v>
      </c>
      <c r="H508" s="10" t="s">
        <v>425</v>
      </c>
      <c r="I508" s="9" t="s">
        <v>426</v>
      </c>
      <c r="J508" s="10" t="n">
        <v>99</v>
      </c>
      <c r="K508" s="10" t="s">
        <v>64</v>
      </c>
    </row>
    <row r="509" customFormat="false" ht="15" hidden="false" customHeight="true" outlineLevel="0" collapsed="false">
      <c r="A509" s="1" t="s">
        <v>13</v>
      </c>
      <c r="B509" s="1" t="s">
        <v>418</v>
      </c>
      <c r="C509" s="1" t="str">
        <f aca="false">IF(D509="PRE","N/A",
IF(D509="SUP","N/A",
IF(D509="Single-choice",H509,
IF(D509="Single-choice w/ correct",H509,
IF(D509="Series", LEFT(H509,FIND("_",H509)-1) &amp; "_" &amp; MID(H509,FIND("_",H509,FIND("_",H509)+1)+1,999)
)))))</f>
        <v>POLPROB_W127</v>
      </c>
      <c r="D509" s="6" t="s">
        <v>55</v>
      </c>
      <c r="E509" s="7" t="str">
        <f aca="false">IF(D509="PRE","N/A", 
IF(D509="SUP",I509, 
IF(D509="Single-choice",I509, 
IF(D509="Single-choice w/ correct",I509, 
IF(D509="Series", LEFT(I509, FIND("    ",I509)
))))))</f>
        <v>How much of a problem do you think police violence against Black people is in the United States today?</v>
      </c>
      <c r="F509" s="8" t="str">
        <f aca="false">IF(D509="PRE",I509,
IF(D509="SUP",I509,
IF(D509="Single-choice","N/A",
IF(D509="Single-choice w/ correct","N/A",
IF(D509="Series", RIGHT(I509, LEN(I509) - FIND("    ",I509)-3
))))))</f>
        <v>N/A</v>
      </c>
      <c r="G509" s="6" t="s">
        <v>56</v>
      </c>
      <c r="H509" s="6" t="s">
        <v>427</v>
      </c>
      <c r="I509" s="9" t="s">
        <v>428</v>
      </c>
      <c r="J509" s="6" t="n">
        <v>1</v>
      </c>
      <c r="K509" s="6" t="s">
        <v>429</v>
      </c>
    </row>
    <row r="510" customFormat="false" ht="23.3" hidden="false" customHeight="false" outlineLevel="0" collapsed="false">
      <c r="A510" s="1" t="s">
        <v>13</v>
      </c>
      <c r="B510" s="1" t="s">
        <v>418</v>
      </c>
      <c r="C510" s="1" t="str">
        <f aca="false">IF(D510="PRE","N/A",
IF(D510="SUP","N/A",
IF(D510="Single-choice",H510,
IF(D510="Single-choice w/ correct",H510,
IF(D510="Series", LEFT(H510,FIND("_",H510)-1) &amp; "_" &amp; MID(H510,FIND("_",H510,FIND("_",H510)+1)+1,999)
)))))</f>
        <v>POLPROB_W127</v>
      </c>
      <c r="D510" s="6" t="s">
        <v>55</v>
      </c>
      <c r="E510" s="7" t="str">
        <f aca="false">IF(D510="PRE","N/A", 
IF(D510="SUP",I510, 
IF(D510="Single-choice",I510, 
IF(D510="Single-choice w/ correct",I510, 
IF(D510="Series", LEFT(I510, FIND("    ",I510)
))))))</f>
        <v>How much of a problem do you think police violence against Black people is in the United States today?</v>
      </c>
      <c r="F510" s="8" t="str">
        <f aca="false">IF(D510="PRE",I510,
IF(D510="SUP",I510,
IF(D510="Single-choice","N/A",
IF(D510="Single-choice w/ correct","N/A",
IF(D510="Series", RIGHT(I510, LEN(I510) - FIND("    ",I510)-3
))))))</f>
        <v>N/A</v>
      </c>
      <c r="G510" s="6" t="s">
        <v>56</v>
      </c>
      <c r="H510" s="10" t="s">
        <v>427</v>
      </c>
      <c r="I510" s="9" t="s">
        <v>428</v>
      </c>
      <c r="J510" s="10" t="n">
        <v>2</v>
      </c>
      <c r="K510" s="10" t="s">
        <v>430</v>
      </c>
    </row>
    <row r="511" customFormat="false" ht="23.3" hidden="false" customHeight="false" outlineLevel="0" collapsed="false">
      <c r="A511" s="1" t="s">
        <v>13</v>
      </c>
      <c r="B511" s="1" t="s">
        <v>418</v>
      </c>
      <c r="C511" s="1" t="str">
        <f aca="false">IF(D511="PRE","N/A",
IF(D511="SUP","N/A",
IF(D511="Single-choice",H511,
IF(D511="Single-choice w/ correct",H511,
IF(D511="Series", LEFT(H511,FIND("_",H511)-1) &amp; "_" &amp; MID(H511,FIND("_",H511,FIND("_",H511)+1)+1,999)
)))))</f>
        <v>POLPROB_W127</v>
      </c>
      <c r="D511" s="6" t="s">
        <v>55</v>
      </c>
      <c r="E511" s="7" t="str">
        <f aca="false">IF(D511="PRE","N/A", 
IF(D511="SUP",I511, 
IF(D511="Single-choice",I511, 
IF(D511="Single-choice w/ correct",I511, 
IF(D511="Series", LEFT(I511, FIND("    ",I511)
))))))</f>
        <v>How much of a problem do you think police violence against Black people is in the United States today?</v>
      </c>
      <c r="F511" s="8" t="str">
        <f aca="false">IF(D511="PRE",I511,
IF(D511="SUP",I511,
IF(D511="Single-choice","N/A",
IF(D511="Single-choice w/ correct","N/A",
IF(D511="Series", RIGHT(I511, LEN(I511) - FIND("    ",I511)-3
))))))</f>
        <v>N/A</v>
      </c>
      <c r="G511" s="6" t="s">
        <v>56</v>
      </c>
      <c r="H511" s="10" t="s">
        <v>427</v>
      </c>
      <c r="I511" s="9" t="s">
        <v>428</v>
      </c>
      <c r="J511" s="10" t="n">
        <v>3</v>
      </c>
      <c r="K511" s="10" t="s">
        <v>431</v>
      </c>
    </row>
    <row r="512" customFormat="false" ht="23.3" hidden="false" customHeight="false" outlineLevel="0" collapsed="false">
      <c r="A512" s="1" t="s">
        <v>13</v>
      </c>
      <c r="B512" s="1" t="s">
        <v>418</v>
      </c>
      <c r="C512" s="1" t="str">
        <f aca="false">IF(D512="PRE","N/A",
IF(D512="SUP","N/A",
IF(D512="Single-choice",H512,
IF(D512="Single-choice w/ correct",H512,
IF(D512="Series", LEFT(H512,FIND("_",H512)-1) &amp; "_" &amp; MID(H512,FIND("_",H512,FIND("_",H512)+1)+1,999)
)))))</f>
        <v>POLPROB_W127</v>
      </c>
      <c r="D512" s="6" t="s">
        <v>55</v>
      </c>
      <c r="E512" s="7" t="str">
        <f aca="false">IF(D512="PRE","N/A", 
IF(D512="SUP",I512, 
IF(D512="Single-choice",I512, 
IF(D512="Single-choice w/ correct",I512, 
IF(D512="Series", LEFT(I512, FIND("    ",I512)
))))))</f>
        <v>How much of a problem do you think police violence against Black people is in the United States today?</v>
      </c>
      <c r="F512" s="8" t="str">
        <f aca="false">IF(D512="PRE",I512,
IF(D512="SUP",I512,
IF(D512="Single-choice","N/A",
IF(D512="Single-choice w/ correct","N/A",
IF(D512="Series", RIGHT(I512, LEN(I512) - FIND("    ",I512)-3
))))))</f>
        <v>N/A</v>
      </c>
      <c r="G512" s="6" t="s">
        <v>56</v>
      </c>
      <c r="H512" s="10" t="s">
        <v>427</v>
      </c>
      <c r="I512" s="9" t="s">
        <v>428</v>
      </c>
      <c r="J512" s="10" t="n">
        <v>99</v>
      </c>
      <c r="K512" s="10" t="s">
        <v>64</v>
      </c>
    </row>
    <row r="513" customFormat="false" ht="15" hidden="false" customHeight="true" outlineLevel="0" collapsed="false">
      <c r="A513" s="1" t="s">
        <v>13</v>
      </c>
      <c r="B513" s="1" t="s">
        <v>418</v>
      </c>
      <c r="C513" s="1" t="str">
        <f aca="false">IF(D513="PRE","N/A",
IF(D513="SUP","N/A",
IF(D513="Single-choice",H513,
IF(D513="Single-choice w/ correct",H513,
IF(D513="Series", LEFT(H513,FIND("_",H513)-1) &amp; "_" &amp; MID(H513,FIND("_",H513,FIND("_",H513)+1)+1,999)
)))))</f>
        <v>MEDPOLEFF_W127</v>
      </c>
      <c r="D513" s="6" t="s">
        <v>78</v>
      </c>
      <c r="E513" s="7" t="str">
        <f aca="false">IF(D513="PRE","N/A", 
IF(D513="SUP",I513, 
IF(D513="Single-choice",I513, 
IF(D513="Single-choice w/ correct",I513, 
IF(D513="Series", LEFT(I513, FIND("    ",I513)
))))))</f>
        <v>How effective do you think each of the following is for bringing attention to police violence against Black people in the United States? </v>
      </c>
      <c r="F513" s="8" t="str">
        <f aca="false">IF(D513="PRE",I513,
IF(D513="SUP",I513,
IF(D513="Single-choice","N/A",
IF(D513="Single-choice w/ correct","N/A",
IF(D513="Series", RIGHT(I513, LEN(I513) - FIND("    ",I513)-3
))))))</f>
        <v>Social media</v>
      </c>
      <c r="G513" s="6" t="s">
        <v>432</v>
      </c>
      <c r="H513" s="6" t="s">
        <v>433</v>
      </c>
      <c r="I513" s="9" t="s">
        <v>434</v>
      </c>
      <c r="J513" s="6" t="n">
        <v>1</v>
      </c>
      <c r="K513" s="6" t="s">
        <v>251</v>
      </c>
    </row>
    <row r="514" customFormat="false" ht="23.3" hidden="false" customHeight="false" outlineLevel="0" collapsed="false">
      <c r="A514" s="1" t="s">
        <v>13</v>
      </c>
      <c r="B514" s="1" t="s">
        <v>418</v>
      </c>
      <c r="C514" s="1" t="str">
        <f aca="false">IF(D514="PRE","N/A",
IF(D514="SUP","N/A",
IF(D514="Single-choice",H514,
IF(D514="Single-choice w/ correct",H514,
IF(D514="Series", LEFT(H514,FIND("_",H514)-1) &amp; "_" &amp; MID(H514,FIND("_",H514,FIND("_",H514)+1)+1,999)
)))))</f>
        <v>MEDPOLEFF_W127</v>
      </c>
      <c r="D514" s="6" t="s">
        <v>78</v>
      </c>
      <c r="E514" s="7" t="str">
        <f aca="false">IF(D514="PRE","N/A", 
IF(D514="SUP",I514, 
IF(D514="Single-choice",I514, 
IF(D514="Single-choice w/ correct",I514, 
IF(D514="Series", LEFT(I514, FIND("    ",I514)
))))))</f>
        <v>How effective do you think each of the following is for bringing attention to police violence against Black people in the United States? </v>
      </c>
      <c r="F514" s="8" t="str">
        <f aca="false">IF(D514="PRE",I514,
IF(D514="SUP",I514,
IF(D514="Single-choice","N/A",
IF(D514="Single-choice w/ correct","N/A",
IF(D514="Series", RIGHT(I514, LEN(I514) - FIND("    ",I514)-3
))))))</f>
        <v>Social media</v>
      </c>
      <c r="G514" s="6" t="s">
        <v>432</v>
      </c>
      <c r="H514" s="10" t="s">
        <v>433</v>
      </c>
      <c r="I514" s="9" t="s">
        <v>434</v>
      </c>
      <c r="J514" s="10" t="n">
        <v>2</v>
      </c>
      <c r="K514" s="10" t="s">
        <v>252</v>
      </c>
    </row>
    <row r="515" customFormat="false" ht="23.3" hidden="false" customHeight="false" outlineLevel="0" collapsed="false">
      <c r="A515" s="1" t="s">
        <v>13</v>
      </c>
      <c r="B515" s="1" t="s">
        <v>418</v>
      </c>
      <c r="C515" s="1" t="str">
        <f aca="false">IF(D515="PRE","N/A",
IF(D515="SUP","N/A",
IF(D515="Single-choice",H515,
IF(D515="Single-choice w/ correct",H515,
IF(D515="Series", LEFT(H515,FIND("_",H515)-1) &amp; "_" &amp; MID(H515,FIND("_",H515,FIND("_",H515)+1)+1,999)
)))))</f>
        <v>MEDPOLEFF_W127</v>
      </c>
      <c r="D515" s="6" t="s">
        <v>78</v>
      </c>
      <c r="E515" s="7" t="str">
        <f aca="false">IF(D515="PRE","N/A", 
IF(D515="SUP",I515, 
IF(D515="Single-choice",I515, 
IF(D515="Single-choice w/ correct",I515, 
IF(D515="Series", LEFT(I515, FIND("    ",I515)
))))))</f>
        <v>How effective do you think each of the following is for bringing attention to police violence against Black people in the United States? </v>
      </c>
      <c r="F515" s="8" t="str">
        <f aca="false">IF(D515="PRE",I515,
IF(D515="SUP",I515,
IF(D515="Single-choice","N/A",
IF(D515="Single-choice w/ correct","N/A",
IF(D515="Series", RIGHT(I515, LEN(I515) - FIND("    ",I515)-3
))))))</f>
        <v>Social media</v>
      </c>
      <c r="G515" s="6" t="s">
        <v>432</v>
      </c>
      <c r="H515" s="10" t="s">
        <v>433</v>
      </c>
      <c r="I515" s="9" t="s">
        <v>434</v>
      </c>
      <c r="J515" s="10" t="n">
        <v>3</v>
      </c>
      <c r="K515" s="10" t="s">
        <v>253</v>
      </c>
    </row>
    <row r="516" customFormat="false" ht="23.3" hidden="false" customHeight="false" outlineLevel="0" collapsed="false">
      <c r="A516" s="1" t="s">
        <v>13</v>
      </c>
      <c r="B516" s="1" t="s">
        <v>418</v>
      </c>
      <c r="C516" s="1" t="str">
        <f aca="false">IF(D516="PRE","N/A",
IF(D516="SUP","N/A",
IF(D516="Single-choice",H516,
IF(D516="Single-choice w/ correct",H516,
IF(D516="Series", LEFT(H516,FIND("_",H516)-1) &amp; "_" &amp; MID(H516,FIND("_",H516,FIND("_",H516)+1)+1,999)
)))))</f>
        <v>MEDPOLEFF_W127</v>
      </c>
      <c r="D516" s="6" t="s">
        <v>78</v>
      </c>
      <c r="E516" s="7" t="str">
        <f aca="false">IF(D516="PRE","N/A", 
IF(D516="SUP",I516, 
IF(D516="Single-choice",I516, 
IF(D516="Single-choice w/ correct",I516, 
IF(D516="Series", LEFT(I516, FIND("    ",I516)
))))))</f>
        <v>How effective do you think each of the following is for bringing attention to police violence against Black people in the United States? </v>
      </c>
      <c r="F516" s="8" t="str">
        <f aca="false">IF(D516="PRE",I516,
IF(D516="SUP",I516,
IF(D516="Single-choice","N/A",
IF(D516="Single-choice w/ correct","N/A",
IF(D516="Series", RIGHT(I516, LEN(I516) - FIND("    ",I516)-3
))))))</f>
        <v>Social media</v>
      </c>
      <c r="G516" s="6" t="s">
        <v>432</v>
      </c>
      <c r="H516" s="10" t="s">
        <v>433</v>
      </c>
      <c r="I516" s="9" t="s">
        <v>434</v>
      </c>
      <c r="J516" s="10" t="n">
        <v>4</v>
      </c>
      <c r="K516" s="10" t="s">
        <v>254</v>
      </c>
    </row>
    <row r="517" customFormat="false" ht="23.3" hidden="false" customHeight="false" outlineLevel="0" collapsed="false">
      <c r="A517" s="1" t="s">
        <v>13</v>
      </c>
      <c r="B517" s="1" t="s">
        <v>418</v>
      </c>
      <c r="C517" s="1" t="str">
        <f aca="false">IF(D517="PRE","N/A",
IF(D517="SUP","N/A",
IF(D517="Single-choice",H517,
IF(D517="Single-choice w/ correct",H517,
IF(D517="Series", LEFT(H517,FIND("_",H517)-1) &amp; "_" &amp; MID(H517,FIND("_",H517,FIND("_",H517)+1)+1,999)
)))))</f>
        <v>MEDPOLEFF_W127</v>
      </c>
      <c r="D517" s="6" t="s">
        <v>78</v>
      </c>
      <c r="E517" s="7" t="str">
        <f aca="false">IF(D517="PRE","N/A", 
IF(D517="SUP",I517, 
IF(D517="Single-choice",I517, 
IF(D517="Single-choice w/ correct",I517, 
IF(D517="Series", LEFT(I517, FIND("    ",I517)
))))))</f>
        <v>How effective do you think each of the following is for bringing attention to police violence against Black people in the United States? </v>
      </c>
      <c r="F517" s="8" t="str">
        <f aca="false">IF(D517="PRE",I517,
IF(D517="SUP",I517,
IF(D517="Single-choice","N/A",
IF(D517="Single-choice w/ correct","N/A",
IF(D517="Series", RIGHT(I517, LEN(I517) - FIND("    ",I517)-3
))))))</f>
        <v>Social media</v>
      </c>
      <c r="G517" s="6" t="s">
        <v>432</v>
      </c>
      <c r="H517" s="10" t="s">
        <v>433</v>
      </c>
      <c r="I517" s="9" t="s">
        <v>434</v>
      </c>
      <c r="J517" s="10" t="n">
        <v>5</v>
      </c>
      <c r="K517" s="10" t="s">
        <v>255</v>
      </c>
    </row>
    <row r="518" customFormat="false" ht="23.3" hidden="false" customHeight="false" outlineLevel="0" collapsed="false">
      <c r="A518" s="1" t="s">
        <v>13</v>
      </c>
      <c r="B518" s="1" t="s">
        <v>418</v>
      </c>
      <c r="C518" s="1" t="str">
        <f aca="false">IF(D518="PRE","N/A",
IF(D518="SUP","N/A",
IF(D518="Single-choice",H518,
IF(D518="Single-choice w/ correct",H518,
IF(D518="Series", LEFT(H518,FIND("_",H518)-1) &amp; "_" &amp; MID(H518,FIND("_",H518,FIND("_",H518)+1)+1,999)
)))))</f>
        <v>MEDPOLEFF_W127</v>
      </c>
      <c r="D518" s="6" t="s">
        <v>78</v>
      </c>
      <c r="E518" s="7" t="str">
        <f aca="false">IF(D518="PRE","N/A", 
IF(D518="SUP",I518, 
IF(D518="Single-choice",I518, 
IF(D518="Single-choice w/ correct",I518, 
IF(D518="Series", LEFT(I518, FIND("    ",I518)
))))))</f>
        <v>How effective do you think each of the following is for bringing attention to police violence against Black people in the United States? </v>
      </c>
      <c r="F518" s="8" t="str">
        <f aca="false">IF(D518="PRE",I518,
IF(D518="SUP",I518,
IF(D518="Single-choice","N/A",
IF(D518="Single-choice w/ correct","N/A",
IF(D518="Series", RIGHT(I518, LEN(I518) - FIND("    ",I518)-3
))))))</f>
        <v>Social media</v>
      </c>
      <c r="G518" s="6" t="s">
        <v>432</v>
      </c>
      <c r="H518" s="10" t="s">
        <v>433</v>
      </c>
      <c r="I518" s="9" t="s">
        <v>434</v>
      </c>
      <c r="J518" s="10" t="n">
        <v>99</v>
      </c>
      <c r="K518" s="10" t="s">
        <v>64</v>
      </c>
    </row>
    <row r="519" customFormat="false" ht="15" hidden="false" customHeight="true" outlineLevel="0" collapsed="false">
      <c r="A519" s="1" t="s">
        <v>13</v>
      </c>
      <c r="B519" s="1" t="s">
        <v>418</v>
      </c>
      <c r="C519" s="1" t="str">
        <f aca="false">IF(D519="PRE","N/A",
IF(D519="SUP","N/A",
IF(D519="Single-choice",H519,
IF(D519="Single-choice w/ correct",H519,
IF(D519="Series", LEFT(H519,FIND("_",H519)-1) &amp; "_" &amp; MID(H519,FIND("_",H519,FIND("_",H519)+1)+1,999)
)))))</f>
        <v>MEDPOLEFF_W127</v>
      </c>
      <c r="D519" s="6" t="s">
        <v>78</v>
      </c>
      <c r="E519" s="7" t="str">
        <f aca="false">IF(D519="PRE","N/A", 
IF(D519="SUP",I519, 
IF(D519="Single-choice",I519, 
IF(D519="Single-choice w/ correct",I519, 
IF(D519="Series", LEFT(I519, FIND("    ",I519)
))))))</f>
        <v>How effective do you think each of the following is for bringing attention to police violence against Black people in the United States? </v>
      </c>
      <c r="F519" s="8" t="str">
        <f aca="false">IF(D519="PRE",I519,
IF(D519="SUP",I519,
IF(D519="Single-choice","N/A",
IF(D519="Single-choice w/ correct","N/A",
IF(D519="Series", RIGHT(I519, LEN(I519) - FIND("    ",I519)-3
))))))</f>
        <v>News organizations</v>
      </c>
      <c r="G519" s="6" t="s">
        <v>432</v>
      </c>
      <c r="H519" s="6" t="s">
        <v>435</v>
      </c>
      <c r="I519" s="9" t="s">
        <v>436</v>
      </c>
      <c r="J519" s="6" t="n">
        <v>1</v>
      </c>
      <c r="K519" s="6" t="s">
        <v>251</v>
      </c>
    </row>
    <row r="520" customFormat="false" ht="34.2" hidden="false" customHeight="false" outlineLevel="0" collapsed="false">
      <c r="A520" s="1" t="s">
        <v>13</v>
      </c>
      <c r="B520" s="1" t="s">
        <v>418</v>
      </c>
      <c r="C520" s="1" t="str">
        <f aca="false">IF(D520="PRE","N/A",
IF(D520="SUP","N/A",
IF(D520="Single-choice",H520,
IF(D520="Single-choice w/ correct",H520,
IF(D520="Series", LEFT(H520,FIND("_",H520)-1) &amp; "_" &amp; MID(H520,FIND("_",H520,FIND("_",H520)+1)+1,999)
)))))</f>
        <v>MEDPOLEFF_W127</v>
      </c>
      <c r="D520" s="6" t="s">
        <v>78</v>
      </c>
      <c r="E520" s="7" t="str">
        <f aca="false">IF(D520="PRE","N/A", 
IF(D520="SUP",I520, 
IF(D520="Single-choice",I520, 
IF(D520="Single-choice w/ correct",I520, 
IF(D520="Series", LEFT(I520, FIND("    ",I520)
))))))</f>
        <v>How effective do you think each of the following is for bringing attention to police violence against Black people in the United States? </v>
      </c>
      <c r="F520" s="8" t="str">
        <f aca="false">IF(D520="PRE",I520,
IF(D520="SUP",I520,
IF(D520="Single-choice","N/A",
IF(D520="Single-choice w/ correct","N/A",
IF(D520="Series", RIGHT(I520, LEN(I520) - FIND("    ",I520)-3
))))))</f>
        <v>News organizations</v>
      </c>
      <c r="G520" s="6" t="s">
        <v>432</v>
      </c>
      <c r="H520" s="10" t="s">
        <v>435</v>
      </c>
      <c r="I520" s="9" t="s">
        <v>436</v>
      </c>
      <c r="J520" s="10" t="n">
        <v>2</v>
      </c>
      <c r="K520" s="10" t="s">
        <v>252</v>
      </c>
    </row>
    <row r="521" customFormat="false" ht="34.2" hidden="false" customHeight="false" outlineLevel="0" collapsed="false">
      <c r="A521" s="1" t="s">
        <v>13</v>
      </c>
      <c r="B521" s="1" t="s">
        <v>418</v>
      </c>
      <c r="C521" s="1" t="str">
        <f aca="false">IF(D521="PRE","N/A",
IF(D521="SUP","N/A",
IF(D521="Single-choice",H521,
IF(D521="Single-choice w/ correct",H521,
IF(D521="Series", LEFT(H521,FIND("_",H521)-1) &amp; "_" &amp; MID(H521,FIND("_",H521,FIND("_",H521)+1)+1,999)
)))))</f>
        <v>MEDPOLEFF_W127</v>
      </c>
      <c r="D521" s="6" t="s">
        <v>78</v>
      </c>
      <c r="E521" s="7" t="str">
        <f aca="false">IF(D521="PRE","N/A", 
IF(D521="SUP",I521, 
IF(D521="Single-choice",I521, 
IF(D521="Single-choice w/ correct",I521, 
IF(D521="Series", LEFT(I521, FIND("    ",I521)
))))))</f>
        <v>How effective do you think each of the following is for bringing attention to police violence against Black people in the United States? </v>
      </c>
      <c r="F521" s="8" t="str">
        <f aca="false">IF(D521="PRE",I521,
IF(D521="SUP",I521,
IF(D521="Single-choice","N/A",
IF(D521="Single-choice w/ correct","N/A",
IF(D521="Series", RIGHT(I521, LEN(I521) - FIND("    ",I521)-3
))))))</f>
        <v>News organizations</v>
      </c>
      <c r="G521" s="6" t="s">
        <v>432</v>
      </c>
      <c r="H521" s="10" t="s">
        <v>435</v>
      </c>
      <c r="I521" s="9" t="s">
        <v>436</v>
      </c>
      <c r="J521" s="10" t="n">
        <v>3</v>
      </c>
      <c r="K521" s="10" t="s">
        <v>253</v>
      </c>
    </row>
    <row r="522" customFormat="false" ht="34.2" hidden="false" customHeight="false" outlineLevel="0" collapsed="false">
      <c r="A522" s="1" t="s">
        <v>13</v>
      </c>
      <c r="B522" s="1" t="s">
        <v>418</v>
      </c>
      <c r="C522" s="1" t="str">
        <f aca="false">IF(D522="PRE","N/A",
IF(D522="SUP","N/A",
IF(D522="Single-choice",H522,
IF(D522="Single-choice w/ correct",H522,
IF(D522="Series", LEFT(H522,FIND("_",H522)-1) &amp; "_" &amp; MID(H522,FIND("_",H522,FIND("_",H522)+1)+1,999)
)))))</f>
        <v>MEDPOLEFF_W127</v>
      </c>
      <c r="D522" s="6" t="s">
        <v>78</v>
      </c>
      <c r="E522" s="7" t="str">
        <f aca="false">IF(D522="PRE","N/A", 
IF(D522="SUP",I522, 
IF(D522="Single-choice",I522, 
IF(D522="Single-choice w/ correct",I522, 
IF(D522="Series", LEFT(I522, FIND("    ",I522)
))))))</f>
        <v>How effective do you think each of the following is for bringing attention to police violence against Black people in the United States? </v>
      </c>
      <c r="F522" s="8" t="str">
        <f aca="false">IF(D522="PRE",I522,
IF(D522="SUP",I522,
IF(D522="Single-choice","N/A",
IF(D522="Single-choice w/ correct","N/A",
IF(D522="Series", RIGHT(I522, LEN(I522) - FIND("    ",I522)-3
))))))</f>
        <v>News organizations</v>
      </c>
      <c r="G522" s="6" t="s">
        <v>432</v>
      </c>
      <c r="H522" s="10" t="s">
        <v>435</v>
      </c>
      <c r="I522" s="9" t="s">
        <v>436</v>
      </c>
      <c r="J522" s="10" t="n">
        <v>4</v>
      </c>
      <c r="K522" s="10" t="s">
        <v>254</v>
      </c>
    </row>
    <row r="523" customFormat="false" ht="34.2" hidden="false" customHeight="false" outlineLevel="0" collapsed="false">
      <c r="A523" s="1" t="s">
        <v>13</v>
      </c>
      <c r="B523" s="1" t="s">
        <v>418</v>
      </c>
      <c r="C523" s="1" t="str">
        <f aca="false">IF(D523="PRE","N/A",
IF(D523="SUP","N/A",
IF(D523="Single-choice",H523,
IF(D523="Single-choice w/ correct",H523,
IF(D523="Series", LEFT(H523,FIND("_",H523)-1) &amp; "_" &amp; MID(H523,FIND("_",H523,FIND("_",H523)+1)+1,999)
)))))</f>
        <v>MEDPOLEFF_W127</v>
      </c>
      <c r="D523" s="6" t="s">
        <v>78</v>
      </c>
      <c r="E523" s="7" t="str">
        <f aca="false">IF(D523="PRE","N/A", 
IF(D523="SUP",I523, 
IF(D523="Single-choice",I523, 
IF(D523="Single-choice w/ correct",I523, 
IF(D523="Series", LEFT(I523, FIND("    ",I523)
))))))</f>
        <v>How effective do you think each of the following is for bringing attention to police violence against Black people in the United States? </v>
      </c>
      <c r="F523" s="8" t="str">
        <f aca="false">IF(D523="PRE",I523,
IF(D523="SUP",I523,
IF(D523="Single-choice","N/A",
IF(D523="Single-choice w/ correct","N/A",
IF(D523="Series", RIGHT(I523, LEN(I523) - FIND("    ",I523)-3
))))))</f>
        <v>News organizations</v>
      </c>
      <c r="G523" s="6" t="s">
        <v>432</v>
      </c>
      <c r="H523" s="10" t="s">
        <v>435</v>
      </c>
      <c r="I523" s="9" t="s">
        <v>436</v>
      </c>
      <c r="J523" s="10" t="n">
        <v>5</v>
      </c>
      <c r="K523" s="10" t="s">
        <v>255</v>
      </c>
    </row>
    <row r="524" customFormat="false" ht="34.2" hidden="false" customHeight="false" outlineLevel="0" collapsed="false">
      <c r="A524" s="1" t="s">
        <v>13</v>
      </c>
      <c r="B524" s="1" t="s">
        <v>418</v>
      </c>
      <c r="C524" s="1" t="str">
        <f aca="false">IF(D524="PRE","N/A",
IF(D524="SUP","N/A",
IF(D524="Single-choice",H524,
IF(D524="Single-choice w/ correct",H524,
IF(D524="Series", LEFT(H524,FIND("_",H524)-1) &amp; "_" &amp; MID(H524,FIND("_",H524,FIND("_",H524)+1)+1,999)
)))))</f>
        <v>MEDPOLEFF_W127</v>
      </c>
      <c r="D524" s="6" t="s">
        <v>78</v>
      </c>
      <c r="E524" s="7" t="str">
        <f aca="false">IF(D524="PRE","N/A", 
IF(D524="SUP",I524, 
IF(D524="Single-choice",I524, 
IF(D524="Single-choice w/ correct",I524, 
IF(D524="Series", LEFT(I524, FIND("    ",I524)
))))))</f>
        <v>How effective do you think each of the following is for bringing attention to police violence against Black people in the United States? </v>
      </c>
      <c r="F524" s="8" t="str">
        <f aca="false">IF(D524="PRE",I524,
IF(D524="SUP",I524,
IF(D524="Single-choice","N/A",
IF(D524="Single-choice w/ correct","N/A",
IF(D524="Series", RIGHT(I524, LEN(I524) - FIND("    ",I524)-3
))))))</f>
        <v>News organizations</v>
      </c>
      <c r="G524" s="6" t="s">
        <v>432</v>
      </c>
      <c r="H524" s="10" t="s">
        <v>435</v>
      </c>
      <c r="I524" s="9" t="s">
        <v>436</v>
      </c>
      <c r="J524" s="10" t="n">
        <v>99</v>
      </c>
      <c r="K524" s="10" t="s">
        <v>64</v>
      </c>
    </row>
    <row r="525" customFormat="false" ht="15" hidden="false" customHeight="true" outlineLevel="0" collapsed="false">
      <c r="A525" s="1" t="s">
        <v>13</v>
      </c>
      <c r="B525" s="1" t="s">
        <v>437</v>
      </c>
      <c r="C525" s="1" t="str">
        <f aca="false">IF(D525="PRE","N/A",
IF(D525="SUP","N/A",
IF(D525="Single-choice",H525,
IF(D525="Single-choice w/ correct",H525,
IF(D525="Series", LEFT(H525,FIND("_",H525)-1) &amp; "_" &amp; MID(H525,FIND("_",H525,FIND("_",H525)+1)+1,999)
)))))</f>
        <v>N/A</v>
      </c>
      <c r="D525" s="6" t="s">
        <v>438</v>
      </c>
      <c r="E525" s="7" t="str">
        <f aca="false">IF(D525="PRE","N/A", 
IF(D525="SUP",I525, 
IF(D525="Single-choice",I525, 
IF(D525="Single-choice w/ correct",I525, 
IF(D525="Series", LEFT(I525, FIND("    ",I525)
))))))</f>
        <v>Metropolitan area indicator</v>
      </c>
      <c r="F525" s="8" t="str">
        <f aca="false">IF(D525="PRE",I525,
IF(D525="SUP",I525,
IF(D525="Single-choice","N/A",
IF(D525="Single-choice w/ correct","N/A",
IF(D525="Series", RIGHT(I525, LEN(I525) - FIND("    ",I525)-3
))))))</f>
        <v>Metropolitan area indicator</v>
      </c>
      <c r="G525" s="6" t="s">
        <v>16</v>
      </c>
      <c r="H525" s="6" t="s">
        <v>439</v>
      </c>
      <c r="I525" s="9" t="s">
        <v>440</v>
      </c>
      <c r="J525" s="6" t="n">
        <v>1</v>
      </c>
      <c r="K525" s="6" t="s">
        <v>441</v>
      </c>
    </row>
    <row r="526" customFormat="false" ht="15" hidden="false" customHeight="false" outlineLevel="0" collapsed="false">
      <c r="A526" s="1" t="s">
        <v>13</v>
      </c>
      <c r="B526" s="1" t="s">
        <v>437</v>
      </c>
      <c r="C526" s="1" t="str">
        <f aca="false">IF(D526="PRE","N/A",
IF(D526="SUP","N/A",
IF(D526="Single-choice",H526,
IF(D526="Single-choice w/ correct",H526,
IF(D526="Series", LEFT(H526,FIND("_",H526)-1) &amp; "_" &amp; MID(H526,FIND("_",H526,FIND("_",H526)+1)+1,999)
)))))</f>
        <v>N/A</v>
      </c>
      <c r="D526" s="6" t="s">
        <v>438</v>
      </c>
      <c r="E526" s="7" t="str">
        <f aca="false">IF(D526="PRE","N/A", 
IF(D526="SUP",I526, 
IF(D526="Single-choice",I526, 
IF(D526="Single-choice w/ correct",I526, 
IF(D526="Series", LEFT(I526, FIND("    ",I526)
))))))</f>
        <v>Metropolitan area indicator</v>
      </c>
      <c r="F526" s="8" t="str">
        <f aca="false">IF(D526="PRE",I526,
IF(D526="SUP",I526,
IF(D526="Single-choice","N/A",
IF(D526="Single-choice w/ correct","N/A",
IF(D526="Series", RIGHT(I526, LEN(I526) - FIND("    ",I526)-3
))))))</f>
        <v>Metropolitan area indicator</v>
      </c>
      <c r="G526" s="6" t="s">
        <v>16</v>
      </c>
      <c r="H526" s="10" t="s">
        <v>439</v>
      </c>
      <c r="I526" s="9" t="s">
        <v>440</v>
      </c>
      <c r="J526" s="10" t="n">
        <v>2</v>
      </c>
      <c r="K526" s="10" t="s">
        <v>442</v>
      </c>
    </row>
    <row r="527" customFormat="false" ht="15" hidden="false" customHeight="true" outlineLevel="0" collapsed="false">
      <c r="A527" s="1" t="s">
        <v>13</v>
      </c>
      <c r="B527" s="1" t="s">
        <v>437</v>
      </c>
      <c r="C527" s="1" t="str">
        <f aca="false">IF(D527="PRE","N/A",
IF(D527="SUP","N/A",
IF(D527="Single-choice",H527,
IF(D527="Single-choice w/ correct",H527,
IF(D527="Series", LEFT(H527,FIND("_",H527)-1) &amp; "_" &amp; MID(H527,FIND("_",H527,FIND("_",H527)+1)+1,999)
)))))</f>
        <v>N/A</v>
      </c>
      <c r="D527" s="6" t="s">
        <v>438</v>
      </c>
      <c r="E527" s="7" t="str">
        <f aca="false">IF(D527="PRE","N/A", 
IF(D527="SUP",I527, 
IF(D527="Single-choice",I527, 
IF(D527="Single-choice w/ correct",I527, 
IF(D527="Series", LEFT(I527, FIND("    ",I527)
))))))</f>
        <v>Census region</v>
      </c>
      <c r="F527" s="8" t="str">
        <f aca="false">IF(D527="PRE",I527,
IF(D527="SUP",I527,
IF(D527="Single-choice","N/A",
IF(D527="Single-choice w/ correct","N/A",
IF(D527="Series", RIGHT(I527, LEN(I527) - FIND("    ",I527)-3
))))))</f>
        <v>Census region</v>
      </c>
      <c r="G527" s="6" t="s">
        <v>16</v>
      </c>
      <c r="H527" s="6" t="s">
        <v>443</v>
      </c>
      <c r="I527" s="9" t="s">
        <v>444</v>
      </c>
      <c r="J527" s="6" t="n">
        <v>1</v>
      </c>
      <c r="K527" s="6" t="s">
        <v>445</v>
      </c>
    </row>
    <row r="528" customFormat="false" ht="15" hidden="false" customHeight="false" outlineLevel="0" collapsed="false">
      <c r="A528" s="1" t="s">
        <v>13</v>
      </c>
      <c r="B528" s="1" t="s">
        <v>437</v>
      </c>
      <c r="C528" s="1" t="str">
        <f aca="false">IF(D528="PRE","N/A",
IF(D528="SUP","N/A",
IF(D528="Single-choice",H528,
IF(D528="Single-choice w/ correct",H528,
IF(D528="Series", LEFT(H528,FIND("_",H528)-1) &amp; "_" &amp; MID(H528,FIND("_",H528,FIND("_",H528)+1)+1,999)
)))))</f>
        <v>N/A</v>
      </c>
      <c r="D528" s="6" t="s">
        <v>438</v>
      </c>
      <c r="E528" s="7" t="str">
        <f aca="false">IF(D528="PRE","N/A", 
IF(D528="SUP",I528, 
IF(D528="Single-choice",I528, 
IF(D528="Single-choice w/ correct",I528, 
IF(D528="Series", LEFT(I528, FIND("    ",I528)
))))))</f>
        <v>Census region</v>
      </c>
      <c r="F528" s="8" t="str">
        <f aca="false">IF(D528="PRE",I528,
IF(D528="SUP",I528,
IF(D528="Single-choice","N/A",
IF(D528="Single-choice w/ correct","N/A",
IF(D528="Series", RIGHT(I528, LEN(I528) - FIND("    ",I528)-3
))))))</f>
        <v>Census region</v>
      </c>
      <c r="G528" s="6" t="s">
        <v>16</v>
      </c>
      <c r="H528" s="10" t="s">
        <v>443</v>
      </c>
      <c r="I528" s="9" t="s">
        <v>444</v>
      </c>
      <c r="J528" s="10" t="n">
        <v>2</v>
      </c>
      <c r="K528" s="10" t="s">
        <v>446</v>
      </c>
    </row>
    <row r="529" customFormat="false" ht="15" hidden="false" customHeight="false" outlineLevel="0" collapsed="false">
      <c r="A529" s="1" t="s">
        <v>13</v>
      </c>
      <c r="B529" s="1" t="s">
        <v>437</v>
      </c>
      <c r="C529" s="1" t="str">
        <f aca="false">IF(D529="PRE","N/A",
IF(D529="SUP","N/A",
IF(D529="Single-choice",H529,
IF(D529="Single-choice w/ correct",H529,
IF(D529="Series", LEFT(H529,FIND("_",H529)-1) &amp; "_" &amp; MID(H529,FIND("_",H529,FIND("_",H529)+1)+1,999)
)))))</f>
        <v>N/A</v>
      </c>
      <c r="D529" s="6" t="s">
        <v>438</v>
      </c>
      <c r="E529" s="7" t="str">
        <f aca="false">IF(D529="PRE","N/A", 
IF(D529="SUP",I529, 
IF(D529="Single-choice",I529, 
IF(D529="Single-choice w/ correct",I529, 
IF(D529="Series", LEFT(I529, FIND("    ",I529)
))))))</f>
        <v>Census region</v>
      </c>
      <c r="F529" s="8" t="str">
        <f aca="false">IF(D529="PRE",I529,
IF(D529="SUP",I529,
IF(D529="Single-choice","N/A",
IF(D529="Single-choice w/ correct","N/A",
IF(D529="Series", RIGHT(I529, LEN(I529) - FIND("    ",I529)-3
))))))</f>
        <v>Census region</v>
      </c>
      <c r="G529" s="6" t="s">
        <v>16</v>
      </c>
      <c r="H529" s="10" t="s">
        <v>443</v>
      </c>
      <c r="I529" s="9" t="s">
        <v>444</v>
      </c>
      <c r="J529" s="10" t="n">
        <v>3</v>
      </c>
      <c r="K529" s="10" t="s">
        <v>447</v>
      </c>
    </row>
    <row r="530" customFormat="false" ht="15" hidden="false" customHeight="false" outlineLevel="0" collapsed="false">
      <c r="A530" s="1" t="s">
        <v>13</v>
      </c>
      <c r="B530" s="1" t="s">
        <v>437</v>
      </c>
      <c r="C530" s="1" t="str">
        <f aca="false">IF(D530="PRE","N/A",
IF(D530="SUP","N/A",
IF(D530="Single-choice",H530,
IF(D530="Single-choice w/ correct",H530,
IF(D530="Series", LEFT(H530,FIND("_",H530)-1) &amp; "_" &amp; MID(H530,FIND("_",H530,FIND("_",H530)+1)+1,999)
)))))</f>
        <v>N/A</v>
      </c>
      <c r="D530" s="6" t="s">
        <v>438</v>
      </c>
      <c r="E530" s="7" t="str">
        <f aca="false">IF(D530="PRE","N/A", 
IF(D530="SUP",I530, 
IF(D530="Single-choice",I530, 
IF(D530="Single-choice w/ correct",I530, 
IF(D530="Series", LEFT(I530, FIND("    ",I530)
))))))</f>
        <v>Census region</v>
      </c>
      <c r="F530" s="8" t="str">
        <f aca="false">IF(D530="PRE",I530,
IF(D530="SUP",I530,
IF(D530="Single-choice","N/A",
IF(D530="Single-choice w/ correct","N/A",
IF(D530="Series", RIGHT(I530, LEN(I530) - FIND("    ",I530)-3
))))))</f>
        <v>Census region</v>
      </c>
      <c r="G530" s="6" t="s">
        <v>16</v>
      </c>
      <c r="H530" s="10" t="s">
        <v>443</v>
      </c>
      <c r="I530" s="9" t="s">
        <v>444</v>
      </c>
      <c r="J530" s="10" t="n">
        <v>4</v>
      </c>
      <c r="K530" s="10" t="s">
        <v>448</v>
      </c>
    </row>
    <row r="531" customFormat="false" ht="15" hidden="false" customHeight="true" outlineLevel="0" collapsed="false">
      <c r="A531" s="1" t="s">
        <v>13</v>
      </c>
      <c r="B531" s="1" t="s">
        <v>437</v>
      </c>
      <c r="C531" s="1" t="str">
        <f aca="false">IF(D531="PRE","N/A",
IF(D531="SUP","N/A",
IF(D531="Single-choice",H531,
IF(D531="Single-choice w/ correct",H531,
IF(D531="Series", LEFT(H531,FIND("_",H531)-1) &amp; "_" &amp; MID(H531,FIND("_",H531,FIND("_",H531)+1)+1,999)
)))))</f>
        <v>N/A</v>
      </c>
      <c r="D531" s="6" t="s">
        <v>438</v>
      </c>
      <c r="E531" s="7" t="str">
        <f aca="false">IF(D531="PRE","N/A", 
IF(D531="SUP",I531, 
IF(D531="Single-choice",I531, 
IF(D531="Single-choice w/ correct",I531, 
IF(D531="Series", LEFT(I531, FIND("    ",I531)
))))))</f>
        <v>Census division</v>
      </c>
      <c r="F531" s="8" t="str">
        <f aca="false">IF(D531="PRE",I531,
IF(D531="SUP",I531,
IF(D531="Single-choice","N/A",
IF(D531="Single-choice w/ correct","N/A",
IF(D531="Series", RIGHT(I531, LEN(I531) - FIND("    ",I531)-3
))))))</f>
        <v>Census division</v>
      </c>
      <c r="G531" s="6" t="s">
        <v>16</v>
      </c>
      <c r="H531" s="6" t="s">
        <v>449</v>
      </c>
      <c r="I531" s="9" t="s">
        <v>450</v>
      </c>
      <c r="J531" s="6" t="n">
        <v>1</v>
      </c>
      <c r="K531" s="6" t="s">
        <v>451</v>
      </c>
    </row>
    <row r="532" customFormat="false" ht="15" hidden="false" customHeight="false" outlineLevel="0" collapsed="false">
      <c r="A532" s="1" t="s">
        <v>13</v>
      </c>
      <c r="B532" s="1" t="s">
        <v>437</v>
      </c>
      <c r="C532" s="1" t="str">
        <f aca="false">IF(D532="PRE","N/A",
IF(D532="SUP","N/A",
IF(D532="Single-choice",H532,
IF(D532="Single-choice w/ correct",H532,
IF(D532="Series", LEFT(H532,FIND("_",H532)-1) &amp; "_" &amp; MID(H532,FIND("_",H532,FIND("_",H532)+1)+1,999)
)))))</f>
        <v>N/A</v>
      </c>
      <c r="D532" s="6" t="s">
        <v>438</v>
      </c>
      <c r="E532" s="7" t="str">
        <f aca="false">IF(D532="PRE","N/A", 
IF(D532="SUP",I532, 
IF(D532="Single-choice",I532, 
IF(D532="Single-choice w/ correct",I532, 
IF(D532="Series", LEFT(I532, FIND("    ",I532)
))))))</f>
        <v>Census division</v>
      </c>
      <c r="F532" s="8" t="str">
        <f aca="false">IF(D532="PRE",I532,
IF(D532="SUP",I532,
IF(D532="Single-choice","N/A",
IF(D532="Single-choice w/ correct","N/A",
IF(D532="Series", RIGHT(I532, LEN(I532) - FIND("    ",I532)-3
))))))</f>
        <v>Census division</v>
      </c>
      <c r="G532" s="6" t="s">
        <v>16</v>
      </c>
      <c r="H532" s="10" t="s">
        <v>449</v>
      </c>
      <c r="I532" s="9" t="s">
        <v>450</v>
      </c>
      <c r="J532" s="10" t="n">
        <v>2</v>
      </c>
      <c r="K532" s="10" t="s">
        <v>452</v>
      </c>
    </row>
    <row r="533" customFormat="false" ht="15" hidden="false" customHeight="false" outlineLevel="0" collapsed="false">
      <c r="A533" s="1" t="s">
        <v>13</v>
      </c>
      <c r="B533" s="1" t="s">
        <v>437</v>
      </c>
      <c r="C533" s="1" t="str">
        <f aca="false">IF(D533="PRE","N/A",
IF(D533="SUP","N/A",
IF(D533="Single-choice",H533,
IF(D533="Single-choice w/ correct",H533,
IF(D533="Series", LEFT(H533,FIND("_",H533)-1) &amp; "_" &amp; MID(H533,FIND("_",H533,FIND("_",H533)+1)+1,999)
)))))</f>
        <v>N/A</v>
      </c>
      <c r="D533" s="6" t="s">
        <v>438</v>
      </c>
      <c r="E533" s="7" t="str">
        <f aca="false">IF(D533="PRE","N/A", 
IF(D533="SUP",I533, 
IF(D533="Single-choice",I533, 
IF(D533="Single-choice w/ correct",I533, 
IF(D533="Series", LEFT(I533, FIND("    ",I533)
))))))</f>
        <v>Census division</v>
      </c>
      <c r="F533" s="8" t="str">
        <f aca="false">IF(D533="PRE",I533,
IF(D533="SUP",I533,
IF(D533="Single-choice","N/A",
IF(D533="Single-choice w/ correct","N/A",
IF(D533="Series", RIGHT(I533, LEN(I533) - FIND("    ",I533)-3
))))))</f>
        <v>Census division</v>
      </c>
      <c r="G533" s="6" t="s">
        <v>16</v>
      </c>
      <c r="H533" s="10" t="s">
        <v>449</v>
      </c>
      <c r="I533" s="9" t="s">
        <v>450</v>
      </c>
      <c r="J533" s="10" t="n">
        <v>3</v>
      </c>
      <c r="K533" s="10" t="s">
        <v>453</v>
      </c>
    </row>
    <row r="534" customFormat="false" ht="15" hidden="false" customHeight="false" outlineLevel="0" collapsed="false">
      <c r="A534" s="1" t="s">
        <v>13</v>
      </c>
      <c r="B534" s="1" t="s">
        <v>437</v>
      </c>
      <c r="C534" s="1" t="str">
        <f aca="false">IF(D534="PRE","N/A",
IF(D534="SUP","N/A",
IF(D534="Single-choice",H534,
IF(D534="Single-choice w/ correct",H534,
IF(D534="Series", LEFT(H534,FIND("_",H534)-1) &amp; "_" &amp; MID(H534,FIND("_",H534,FIND("_",H534)+1)+1,999)
)))))</f>
        <v>N/A</v>
      </c>
      <c r="D534" s="6" t="s">
        <v>438</v>
      </c>
      <c r="E534" s="7" t="str">
        <f aca="false">IF(D534="PRE","N/A", 
IF(D534="SUP",I534, 
IF(D534="Single-choice",I534, 
IF(D534="Single-choice w/ correct",I534, 
IF(D534="Series", LEFT(I534, FIND("    ",I534)
))))))</f>
        <v>Census division</v>
      </c>
      <c r="F534" s="8" t="str">
        <f aca="false">IF(D534="PRE",I534,
IF(D534="SUP",I534,
IF(D534="Single-choice","N/A",
IF(D534="Single-choice w/ correct","N/A",
IF(D534="Series", RIGHT(I534, LEN(I534) - FIND("    ",I534)-3
))))))</f>
        <v>Census division</v>
      </c>
      <c r="G534" s="6" t="s">
        <v>16</v>
      </c>
      <c r="H534" s="10" t="s">
        <v>449</v>
      </c>
      <c r="I534" s="9" t="s">
        <v>450</v>
      </c>
      <c r="J534" s="10" t="n">
        <v>4</v>
      </c>
      <c r="K534" s="10" t="s">
        <v>454</v>
      </c>
    </row>
    <row r="535" customFormat="false" ht="15" hidden="false" customHeight="false" outlineLevel="0" collapsed="false">
      <c r="A535" s="1" t="s">
        <v>13</v>
      </c>
      <c r="B535" s="1" t="s">
        <v>437</v>
      </c>
      <c r="C535" s="1" t="str">
        <f aca="false">IF(D535="PRE","N/A",
IF(D535="SUP","N/A",
IF(D535="Single-choice",H535,
IF(D535="Single-choice w/ correct",H535,
IF(D535="Series", LEFT(H535,FIND("_",H535)-1) &amp; "_" &amp; MID(H535,FIND("_",H535,FIND("_",H535)+1)+1,999)
)))))</f>
        <v>N/A</v>
      </c>
      <c r="D535" s="6" t="s">
        <v>438</v>
      </c>
      <c r="E535" s="7" t="str">
        <f aca="false">IF(D535="PRE","N/A", 
IF(D535="SUP",I535, 
IF(D535="Single-choice",I535, 
IF(D535="Single-choice w/ correct",I535, 
IF(D535="Series", LEFT(I535, FIND("    ",I535)
))))))</f>
        <v>Census division</v>
      </c>
      <c r="F535" s="8" t="str">
        <f aca="false">IF(D535="PRE",I535,
IF(D535="SUP",I535,
IF(D535="Single-choice","N/A",
IF(D535="Single-choice w/ correct","N/A",
IF(D535="Series", RIGHT(I535, LEN(I535) - FIND("    ",I535)-3
))))))</f>
        <v>Census division</v>
      </c>
      <c r="G535" s="6" t="s">
        <v>16</v>
      </c>
      <c r="H535" s="10" t="s">
        <v>449</v>
      </c>
      <c r="I535" s="9" t="s">
        <v>450</v>
      </c>
      <c r="J535" s="10" t="n">
        <v>5</v>
      </c>
      <c r="K535" s="10" t="s">
        <v>455</v>
      </c>
    </row>
    <row r="536" customFormat="false" ht="15" hidden="false" customHeight="false" outlineLevel="0" collapsed="false">
      <c r="A536" s="1" t="s">
        <v>13</v>
      </c>
      <c r="B536" s="1" t="s">
        <v>437</v>
      </c>
      <c r="C536" s="1" t="str">
        <f aca="false">IF(D536="PRE","N/A",
IF(D536="SUP","N/A",
IF(D536="Single-choice",H536,
IF(D536="Single-choice w/ correct",H536,
IF(D536="Series", LEFT(H536,FIND("_",H536)-1) &amp; "_" &amp; MID(H536,FIND("_",H536,FIND("_",H536)+1)+1,999)
)))))</f>
        <v>N/A</v>
      </c>
      <c r="D536" s="6" t="s">
        <v>438</v>
      </c>
      <c r="E536" s="7" t="str">
        <f aca="false">IF(D536="PRE","N/A", 
IF(D536="SUP",I536, 
IF(D536="Single-choice",I536, 
IF(D536="Single-choice w/ correct",I536, 
IF(D536="Series", LEFT(I536, FIND("    ",I536)
))))))</f>
        <v>Census division</v>
      </c>
      <c r="F536" s="8" t="str">
        <f aca="false">IF(D536="PRE",I536,
IF(D536="SUP",I536,
IF(D536="Single-choice","N/A",
IF(D536="Single-choice w/ correct","N/A",
IF(D536="Series", RIGHT(I536, LEN(I536) - FIND("    ",I536)-3
))))))</f>
        <v>Census division</v>
      </c>
      <c r="G536" s="6" t="s">
        <v>16</v>
      </c>
      <c r="H536" s="10" t="s">
        <v>449</v>
      </c>
      <c r="I536" s="9" t="s">
        <v>450</v>
      </c>
      <c r="J536" s="10" t="n">
        <v>6</v>
      </c>
      <c r="K536" s="10" t="s">
        <v>456</v>
      </c>
    </row>
    <row r="537" customFormat="false" ht="15" hidden="false" customHeight="false" outlineLevel="0" collapsed="false">
      <c r="A537" s="1" t="s">
        <v>13</v>
      </c>
      <c r="B537" s="1" t="s">
        <v>437</v>
      </c>
      <c r="C537" s="1" t="str">
        <f aca="false">IF(D537="PRE","N/A",
IF(D537="SUP","N/A",
IF(D537="Single-choice",H537,
IF(D537="Single-choice w/ correct",H537,
IF(D537="Series", LEFT(H537,FIND("_",H537)-1) &amp; "_" &amp; MID(H537,FIND("_",H537,FIND("_",H537)+1)+1,999)
)))))</f>
        <v>N/A</v>
      </c>
      <c r="D537" s="6" t="s">
        <v>438</v>
      </c>
      <c r="E537" s="7" t="str">
        <f aca="false">IF(D537="PRE","N/A", 
IF(D537="SUP",I537, 
IF(D537="Single-choice",I537, 
IF(D537="Single-choice w/ correct",I537, 
IF(D537="Series", LEFT(I537, FIND("    ",I537)
))))))</f>
        <v>Census division</v>
      </c>
      <c r="F537" s="8" t="str">
        <f aca="false">IF(D537="PRE",I537,
IF(D537="SUP",I537,
IF(D537="Single-choice","N/A",
IF(D537="Single-choice w/ correct","N/A",
IF(D537="Series", RIGHT(I537, LEN(I537) - FIND("    ",I537)-3
))))))</f>
        <v>Census division</v>
      </c>
      <c r="G537" s="6" t="s">
        <v>16</v>
      </c>
      <c r="H537" s="10" t="s">
        <v>449</v>
      </c>
      <c r="I537" s="9" t="s">
        <v>450</v>
      </c>
      <c r="J537" s="10" t="n">
        <v>7</v>
      </c>
      <c r="K537" s="10" t="s">
        <v>457</v>
      </c>
    </row>
    <row r="538" customFormat="false" ht="15" hidden="false" customHeight="false" outlineLevel="0" collapsed="false">
      <c r="A538" s="1" t="s">
        <v>13</v>
      </c>
      <c r="B538" s="1" t="s">
        <v>437</v>
      </c>
      <c r="C538" s="1" t="str">
        <f aca="false">IF(D538="PRE","N/A",
IF(D538="SUP","N/A",
IF(D538="Single-choice",H538,
IF(D538="Single-choice w/ correct",H538,
IF(D538="Series", LEFT(H538,FIND("_",H538)-1) &amp; "_" &amp; MID(H538,FIND("_",H538,FIND("_",H538)+1)+1,999)
)))))</f>
        <v>N/A</v>
      </c>
      <c r="D538" s="6" t="s">
        <v>438</v>
      </c>
      <c r="E538" s="7" t="str">
        <f aca="false">IF(D538="PRE","N/A", 
IF(D538="SUP",I538, 
IF(D538="Single-choice",I538, 
IF(D538="Single-choice w/ correct",I538, 
IF(D538="Series", LEFT(I538, FIND("    ",I538)
))))))</f>
        <v>Census division</v>
      </c>
      <c r="F538" s="8" t="str">
        <f aca="false">IF(D538="PRE",I538,
IF(D538="SUP",I538,
IF(D538="Single-choice","N/A",
IF(D538="Single-choice w/ correct","N/A",
IF(D538="Series", RIGHT(I538, LEN(I538) - FIND("    ",I538)-3
))))))</f>
        <v>Census division</v>
      </c>
      <c r="G538" s="6" t="s">
        <v>16</v>
      </c>
      <c r="H538" s="10" t="s">
        <v>449</v>
      </c>
      <c r="I538" s="9" t="s">
        <v>450</v>
      </c>
      <c r="J538" s="10" t="n">
        <v>8</v>
      </c>
      <c r="K538" s="10" t="s">
        <v>458</v>
      </c>
    </row>
    <row r="539" customFormat="false" ht="15" hidden="false" customHeight="false" outlineLevel="0" collapsed="false">
      <c r="A539" s="1" t="s">
        <v>13</v>
      </c>
      <c r="B539" s="1" t="s">
        <v>437</v>
      </c>
      <c r="C539" s="1" t="str">
        <f aca="false">IF(D539="PRE","N/A",
IF(D539="SUP","N/A",
IF(D539="Single-choice",H539,
IF(D539="Single-choice w/ correct",H539,
IF(D539="Series", LEFT(H539,FIND("_",H539)-1) &amp; "_" &amp; MID(H539,FIND("_",H539,FIND("_",H539)+1)+1,999)
)))))</f>
        <v>N/A</v>
      </c>
      <c r="D539" s="6" t="s">
        <v>438</v>
      </c>
      <c r="E539" s="7" t="str">
        <f aca="false">IF(D539="PRE","N/A", 
IF(D539="SUP",I539, 
IF(D539="Single-choice",I539, 
IF(D539="Single-choice w/ correct",I539, 
IF(D539="Series", LEFT(I539, FIND("    ",I539)
))))))</f>
        <v>Census division</v>
      </c>
      <c r="F539" s="8" t="str">
        <f aca="false">IF(D539="PRE",I539,
IF(D539="SUP",I539,
IF(D539="Single-choice","N/A",
IF(D539="Single-choice w/ correct","N/A",
IF(D539="Series", RIGHT(I539, LEN(I539) - FIND("    ",I539)-3
))))))</f>
        <v>Census division</v>
      </c>
      <c r="G539" s="6" t="s">
        <v>16</v>
      </c>
      <c r="H539" s="10" t="s">
        <v>449</v>
      </c>
      <c r="I539" s="9" t="s">
        <v>450</v>
      </c>
      <c r="J539" s="10" t="n">
        <v>9</v>
      </c>
      <c r="K539" s="10" t="s">
        <v>459</v>
      </c>
    </row>
    <row r="540" customFormat="false" ht="15" hidden="false" customHeight="true" outlineLevel="0" collapsed="false">
      <c r="A540" s="1" t="s">
        <v>13</v>
      </c>
      <c r="B540" s="1" t="s">
        <v>437</v>
      </c>
      <c r="C540" s="1" t="str">
        <f aca="false">IF(D540="PRE","N/A",
IF(D540="SUP","N/A",
IF(D540="Single-choice",H540,
IF(D540="Single-choice w/ correct",H540,
IF(D540="Series", LEFT(H540,FIND("_",H540)-1) &amp; "_" &amp; MID(H540,FIND("_",H540,FIND("_",H540)+1)+1,999)
)))))</f>
        <v>N/A</v>
      </c>
      <c r="D540" s="6" t="s">
        <v>438</v>
      </c>
      <c r="E540" s="7" t="str">
        <f aca="false">IF(D540="PRE","N/A", 
IF(D540="SUP",I540, 
IF(D540="Single-choice",I540, 
IF(D540="Single-choice w/ correct",I540, 
IF(D540="Series", LEFT(I540, FIND("    ",I540)
))))))</f>
        <v> Self-identified Urban, Suburban, Rural (USR)</v>
      </c>
      <c r="F540" s="8" t="str">
        <f aca="false">IF(D540="PRE",I540,
IF(D540="SUP",I540,
IF(D540="Single-choice","N/A",
IF(D540="Single-choice w/ correct","N/A",
IF(D540="Series", RIGHT(I540, LEN(I540) - FIND("    ",I540)-3
))))))</f>
        <v> Self-identified Urban, Suburban, Rural (USR)</v>
      </c>
      <c r="G540" s="6" t="s">
        <v>16</v>
      </c>
      <c r="H540" s="6" t="s">
        <v>460</v>
      </c>
      <c r="I540" s="9" t="s">
        <v>461</v>
      </c>
      <c r="J540" s="6" t="n">
        <v>1</v>
      </c>
      <c r="K540" s="6" t="s">
        <v>462</v>
      </c>
    </row>
    <row r="541" customFormat="false" ht="15" hidden="false" customHeight="false" outlineLevel="0" collapsed="false">
      <c r="A541" s="1" t="s">
        <v>13</v>
      </c>
      <c r="B541" s="1" t="s">
        <v>437</v>
      </c>
      <c r="C541" s="1" t="str">
        <f aca="false">IF(D541="PRE","N/A",
IF(D541="SUP","N/A",
IF(D541="Single-choice",H541,
IF(D541="Single-choice w/ correct",H541,
IF(D541="Series", LEFT(H541,FIND("_",H541)-1) &amp; "_" &amp; MID(H541,FIND("_",H541,FIND("_",H541)+1)+1,999)
)))))</f>
        <v>N/A</v>
      </c>
      <c r="D541" s="6" t="s">
        <v>438</v>
      </c>
      <c r="E541" s="7" t="str">
        <f aca="false">IF(D541="PRE","N/A", 
IF(D541="SUP",I541, 
IF(D541="Single-choice",I541, 
IF(D541="Single-choice w/ correct",I541, 
IF(D541="Series", LEFT(I541, FIND("    ",I541)
))))))</f>
        <v> Self-identified Urban, Suburban, Rural (USR)</v>
      </c>
      <c r="F541" s="8" t="str">
        <f aca="false">IF(D541="PRE",I541,
IF(D541="SUP",I541,
IF(D541="Single-choice","N/A",
IF(D541="Single-choice w/ correct","N/A",
IF(D541="Series", RIGHT(I541, LEN(I541) - FIND("    ",I541)-3
))))))</f>
        <v> Self-identified Urban, Suburban, Rural (USR)</v>
      </c>
      <c r="G541" s="6" t="s">
        <v>16</v>
      </c>
      <c r="H541" s="10" t="s">
        <v>460</v>
      </c>
      <c r="I541" s="9" t="s">
        <v>461</v>
      </c>
      <c r="J541" s="10" t="n">
        <v>2</v>
      </c>
      <c r="K541" s="10" t="s">
        <v>463</v>
      </c>
    </row>
    <row r="542" customFormat="false" ht="15" hidden="false" customHeight="false" outlineLevel="0" collapsed="false">
      <c r="A542" s="1" t="s">
        <v>13</v>
      </c>
      <c r="B542" s="1" t="s">
        <v>437</v>
      </c>
      <c r="C542" s="1" t="str">
        <f aca="false">IF(D542="PRE","N/A",
IF(D542="SUP","N/A",
IF(D542="Single-choice",H542,
IF(D542="Single-choice w/ correct",H542,
IF(D542="Series", LEFT(H542,FIND("_",H542)-1) &amp; "_" &amp; MID(H542,FIND("_",H542,FIND("_",H542)+1)+1,999)
)))))</f>
        <v>N/A</v>
      </c>
      <c r="D542" s="6" t="s">
        <v>438</v>
      </c>
      <c r="E542" s="7" t="str">
        <f aca="false">IF(D542="PRE","N/A", 
IF(D542="SUP",I542, 
IF(D542="Single-choice",I542, 
IF(D542="Single-choice w/ correct",I542, 
IF(D542="Series", LEFT(I542, FIND("    ",I542)
))))))</f>
        <v> Self-identified Urban, Suburban, Rural (USR)</v>
      </c>
      <c r="F542" s="8" t="str">
        <f aca="false">IF(D542="PRE",I542,
IF(D542="SUP",I542,
IF(D542="Single-choice","N/A",
IF(D542="Single-choice w/ correct","N/A",
IF(D542="Series", RIGHT(I542, LEN(I542) - FIND("    ",I542)-3
))))))</f>
        <v> Self-identified Urban, Suburban, Rural (USR)</v>
      </c>
      <c r="G542" s="6" t="s">
        <v>16</v>
      </c>
      <c r="H542" s="10" t="s">
        <v>460</v>
      </c>
      <c r="I542" s="9" t="s">
        <v>461</v>
      </c>
      <c r="J542" s="10" t="n">
        <v>3</v>
      </c>
      <c r="K542" s="10" t="s">
        <v>464</v>
      </c>
    </row>
    <row r="543" customFormat="false" ht="15" hidden="false" customHeight="false" outlineLevel="0" collapsed="false">
      <c r="A543" s="1" t="s">
        <v>13</v>
      </c>
      <c r="B543" s="1" t="s">
        <v>437</v>
      </c>
      <c r="C543" s="1" t="str">
        <f aca="false">IF(D543="PRE","N/A",
IF(D543="SUP","N/A",
IF(D543="Single-choice",H543,
IF(D543="Single-choice w/ correct",H543,
IF(D543="Series", LEFT(H543,FIND("_",H543)-1) &amp; "_" &amp; MID(H543,FIND("_",H543,FIND("_",H543)+1)+1,999)
)))))</f>
        <v>N/A</v>
      </c>
      <c r="D543" s="6" t="s">
        <v>438</v>
      </c>
      <c r="E543" s="7" t="str">
        <f aca="false">IF(D543="PRE","N/A", 
IF(D543="SUP",I543, 
IF(D543="Single-choice",I543, 
IF(D543="Single-choice w/ correct",I543, 
IF(D543="Series", LEFT(I543, FIND("    ",I543)
))))))</f>
        <v> Self-identified Urban, Suburban, Rural (USR)</v>
      </c>
      <c r="F543" s="8" t="str">
        <f aca="false">IF(D543="PRE",I543,
IF(D543="SUP",I543,
IF(D543="Single-choice","N/A",
IF(D543="Single-choice w/ correct","N/A",
IF(D543="Series", RIGHT(I543, LEN(I543) - FIND("    ",I543)-3
))))))</f>
        <v> Self-identified Urban, Suburban, Rural (USR)</v>
      </c>
      <c r="G543" s="6" t="s">
        <v>16</v>
      </c>
      <c r="H543" s="10" t="s">
        <v>460</v>
      </c>
      <c r="I543" s="9" t="s">
        <v>461</v>
      </c>
      <c r="J543" s="10" t="n">
        <v>99</v>
      </c>
      <c r="K543" s="10" t="s">
        <v>64</v>
      </c>
    </row>
    <row r="544" customFormat="false" ht="15" hidden="false" customHeight="true" outlineLevel="0" collapsed="false">
      <c r="A544" s="1" t="s">
        <v>13</v>
      </c>
      <c r="B544" s="1" t="s">
        <v>437</v>
      </c>
      <c r="C544" s="1" t="str">
        <f aca="false">IF(D544="PRE","N/A",
IF(D544="SUP","N/A",
IF(D544="Single-choice",H544,
IF(D544="Single-choice w/ correct",H544,
IF(D544="Series", LEFT(H544,FIND("_",H544)-1) &amp; "_" &amp; MID(H544,FIND("_",H544,FIND("_",H544)+1)+1,999)
)))))</f>
        <v>N/A</v>
      </c>
      <c r="D544" s="6" t="s">
        <v>438</v>
      </c>
      <c r="E544" s="7" t="str">
        <f aca="false">IF(D544="PRE","N/A", 
IF(D544="SUP",I544, 
IF(D544="Single-choice",I544, 
IF(D544="Single-choice w/ correct",I544, 
IF(D544="Series", LEFT(I544, FIND("    ",I544)
))))))</f>
        <v>Age category</v>
      </c>
      <c r="F544" s="8" t="str">
        <f aca="false">IF(D544="PRE",I544,
IF(D544="SUP",I544,
IF(D544="Single-choice","N/A",
IF(D544="Single-choice w/ correct","N/A",
IF(D544="Series", RIGHT(I544, LEN(I544) - FIND("    ",I544)-3
))))))</f>
        <v>Age category</v>
      </c>
      <c r="G544" s="6" t="s">
        <v>16</v>
      </c>
      <c r="H544" s="6" t="s">
        <v>465</v>
      </c>
      <c r="I544" s="9" t="s">
        <v>466</v>
      </c>
      <c r="J544" s="6" t="n">
        <v>1</v>
      </c>
      <c r="K544" s="6" t="s">
        <v>467</v>
      </c>
    </row>
    <row r="545" customFormat="false" ht="15" hidden="false" customHeight="false" outlineLevel="0" collapsed="false">
      <c r="A545" s="1" t="s">
        <v>13</v>
      </c>
      <c r="B545" s="1" t="s">
        <v>437</v>
      </c>
      <c r="C545" s="1" t="str">
        <f aca="false">IF(D545="PRE","N/A",
IF(D545="SUP","N/A",
IF(D545="Single-choice",H545,
IF(D545="Single-choice w/ correct",H545,
IF(D545="Series", LEFT(H545,FIND("_",H545)-1) &amp; "_" &amp; MID(H545,FIND("_",H545,FIND("_",H545)+1)+1,999)
)))))</f>
        <v>N/A</v>
      </c>
      <c r="D545" s="6" t="s">
        <v>438</v>
      </c>
      <c r="E545" s="7" t="str">
        <f aca="false">IF(D545="PRE","N/A", 
IF(D545="SUP",I545, 
IF(D545="Single-choice",I545, 
IF(D545="Single-choice w/ correct",I545, 
IF(D545="Series", LEFT(I545, FIND("    ",I545)
))))))</f>
        <v>Age category</v>
      </c>
      <c r="F545" s="8" t="str">
        <f aca="false">IF(D545="PRE",I545,
IF(D545="SUP",I545,
IF(D545="Single-choice","N/A",
IF(D545="Single-choice w/ correct","N/A",
IF(D545="Series", RIGHT(I545, LEN(I545) - FIND("    ",I545)-3
))))))</f>
        <v>Age category</v>
      </c>
      <c r="G545" s="6" t="s">
        <v>16</v>
      </c>
      <c r="H545" s="10" t="s">
        <v>465</v>
      </c>
      <c r="I545" s="9" t="s">
        <v>466</v>
      </c>
      <c r="J545" s="10" t="n">
        <v>2</v>
      </c>
      <c r="K545" s="10" t="s">
        <v>468</v>
      </c>
    </row>
    <row r="546" customFormat="false" ht="15" hidden="false" customHeight="false" outlineLevel="0" collapsed="false">
      <c r="A546" s="1" t="s">
        <v>13</v>
      </c>
      <c r="B546" s="1" t="s">
        <v>437</v>
      </c>
      <c r="C546" s="1" t="str">
        <f aca="false">IF(D546="PRE","N/A",
IF(D546="SUP","N/A",
IF(D546="Single-choice",H546,
IF(D546="Single-choice w/ correct",H546,
IF(D546="Series", LEFT(H546,FIND("_",H546)-1) &amp; "_" &amp; MID(H546,FIND("_",H546,FIND("_",H546)+1)+1,999)
)))))</f>
        <v>N/A</v>
      </c>
      <c r="D546" s="6" t="s">
        <v>438</v>
      </c>
      <c r="E546" s="7" t="str">
        <f aca="false">IF(D546="PRE","N/A", 
IF(D546="SUP",I546, 
IF(D546="Single-choice",I546, 
IF(D546="Single-choice w/ correct",I546, 
IF(D546="Series", LEFT(I546, FIND("    ",I546)
))))))</f>
        <v>Age category</v>
      </c>
      <c r="F546" s="8" t="str">
        <f aca="false">IF(D546="PRE",I546,
IF(D546="SUP",I546,
IF(D546="Single-choice","N/A",
IF(D546="Single-choice w/ correct","N/A",
IF(D546="Series", RIGHT(I546, LEN(I546) - FIND("    ",I546)-3
))))))</f>
        <v>Age category</v>
      </c>
      <c r="G546" s="6" t="s">
        <v>16</v>
      </c>
      <c r="H546" s="10" t="s">
        <v>465</v>
      </c>
      <c r="I546" s="9" t="s">
        <v>466</v>
      </c>
      <c r="J546" s="10" t="n">
        <v>3</v>
      </c>
      <c r="K546" s="10" t="s">
        <v>469</v>
      </c>
    </row>
    <row r="547" customFormat="false" ht="15" hidden="false" customHeight="false" outlineLevel="0" collapsed="false">
      <c r="A547" s="1" t="s">
        <v>13</v>
      </c>
      <c r="B547" s="1" t="s">
        <v>437</v>
      </c>
      <c r="C547" s="1" t="str">
        <f aca="false">IF(D547="PRE","N/A",
IF(D547="SUP","N/A",
IF(D547="Single-choice",H547,
IF(D547="Single-choice w/ correct",H547,
IF(D547="Series", LEFT(H547,FIND("_",H547)-1) &amp; "_" &amp; MID(H547,FIND("_",H547,FIND("_",H547)+1)+1,999)
)))))</f>
        <v>N/A</v>
      </c>
      <c r="D547" s="6" t="s">
        <v>438</v>
      </c>
      <c r="E547" s="7" t="str">
        <f aca="false">IF(D547="PRE","N/A", 
IF(D547="SUP",I547, 
IF(D547="Single-choice",I547, 
IF(D547="Single-choice w/ correct",I547, 
IF(D547="Series", LEFT(I547, FIND("    ",I547)
))))))</f>
        <v>Age category</v>
      </c>
      <c r="F547" s="8" t="str">
        <f aca="false">IF(D547="PRE",I547,
IF(D547="SUP",I547,
IF(D547="Single-choice","N/A",
IF(D547="Single-choice w/ correct","N/A",
IF(D547="Series", RIGHT(I547, LEN(I547) - FIND("    ",I547)-3
))))))</f>
        <v>Age category</v>
      </c>
      <c r="G547" s="6" t="s">
        <v>16</v>
      </c>
      <c r="H547" s="10" t="s">
        <v>465</v>
      </c>
      <c r="I547" s="9" t="s">
        <v>466</v>
      </c>
      <c r="J547" s="10" t="n">
        <v>4</v>
      </c>
      <c r="K547" s="10" t="s">
        <v>470</v>
      </c>
    </row>
    <row r="548" customFormat="false" ht="15" hidden="false" customHeight="false" outlineLevel="0" collapsed="false">
      <c r="A548" s="1" t="s">
        <v>13</v>
      </c>
      <c r="B548" s="1" t="s">
        <v>437</v>
      </c>
      <c r="C548" s="1" t="str">
        <f aca="false">IF(D548="PRE","N/A",
IF(D548="SUP","N/A",
IF(D548="Single-choice",H548,
IF(D548="Single-choice w/ correct",H548,
IF(D548="Series", LEFT(H548,FIND("_",H548)-1) &amp; "_" &amp; MID(H548,FIND("_",H548,FIND("_",H548)+1)+1,999)
)))))</f>
        <v>N/A</v>
      </c>
      <c r="D548" s="6" t="s">
        <v>438</v>
      </c>
      <c r="E548" s="7" t="str">
        <f aca="false">IF(D548="PRE","N/A", 
IF(D548="SUP",I548, 
IF(D548="Single-choice",I548, 
IF(D548="Single-choice w/ correct",I548, 
IF(D548="Series", LEFT(I548, FIND("    ",I548)
))))))</f>
        <v>Age category</v>
      </c>
      <c r="F548" s="8" t="str">
        <f aca="false">IF(D548="PRE",I548,
IF(D548="SUP",I548,
IF(D548="Single-choice","N/A",
IF(D548="Single-choice w/ correct","N/A",
IF(D548="Series", RIGHT(I548, LEN(I548) - FIND("    ",I548)-3
))))))</f>
        <v>Age category</v>
      </c>
      <c r="G548" s="6" t="s">
        <v>16</v>
      </c>
      <c r="H548" s="10" t="s">
        <v>465</v>
      </c>
      <c r="I548" s="9" t="s">
        <v>466</v>
      </c>
      <c r="J548" s="10" t="n">
        <v>99</v>
      </c>
      <c r="K548" s="10" t="s">
        <v>64</v>
      </c>
    </row>
    <row r="549" customFormat="false" ht="15" hidden="false" customHeight="true" outlineLevel="0" collapsed="false">
      <c r="A549" s="1" t="s">
        <v>13</v>
      </c>
      <c r="B549" s="1" t="s">
        <v>437</v>
      </c>
      <c r="C549" s="1" t="str">
        <f aca="false">IF(D549="PRE","N/A",
IF(D549="SUP","N/A",
IF(D549="Single-choice",H549,
IF(D549="Single-choice w/ correct",H549,
IF(D549="Series", LEFT(H549,FIND("_",H549)-1) &amp; "_" &amp; MID(H549,FIND("_",H549,FIND("_",H549)+1)+1,999)
)))))</f>
        <v>N/A</v>
      </c>
      <c r="D549" s="6" t="s">
        <v>438</v>
      </c>
      <c r="E549" s="7" t="str">
        <f aca="false">IF(D549="PRE","N/A", 
IF(D549="SUP",I549, 
IF(D549="Single-choice",I549, 
IF(D549="Single-choice w/ correct",I549, 
IF(D549="Series", LEFT(I549, FIND("    ",I549)
))))))</f>
        <v>Gender</v>
      </c>
      <c r="F549" s="8" t="str">
        <f aca="false">IF(D549="PRE",I549,
IF(D549="SUP",I549,
IF(D549="Single-choice","N/A",
IF(D549="Single-choice w/ correct","N/A",
IF(D549="Series", RIGHT(I549, LEN(I549) - FIND("    ",I549)-3
))))))</f>
        <v>Gender</v>
      </c>
      <c r="G549" s="6" t="s">
        <v>16</v>
      </c>
      <c r="H549" s="6" t="s">
        <v>471</v>
      </c>
      <c r="I549" s="9" t="s">
        <v>472</v>
      </c>
      <c r="J549" s="6" t="n">
        <v>1</v>
      </c>
      <c r="K549" s="6" t="s">
        <v>473</v>
      </c>
    </row>
    <row r="550" customFormat="false" ht="15" hidden="false" customHeight="false" outlineLevel="0" collapsed="false">
      <c r="A550" s="1" t="s">
        <v>13</v>
      </c>
      <c r="B550" s="1" t="s">
        <v>437</v>
      </c>
      <c r="C550" s="1" t="str">
        <f aca="false">IF(D550="PRE","N/A",
IF(D550="SUP","N/A",
IF(D550="Single-choice",H550,
IF(D550="Single-choice w/ correct",H550,
IF(D550="Series", LEFT(H550,FIND("_",H550)-1) &amp; "_" &amp; MID(H550,FIND("_",H550,FIND("_",H550)+1)+1,999)
)))))</f>
        <v>N/A</v>
      </c>
      <c r="D550" s="6" t="s">
        <v>438</v>
      </c>
      <c r="E550" s="7" t="str">
        <f aca="false">IF(D550="PRE","N/A", 
IF(D550="SUP",I550, 
IF(D550="Single-choice",I550, 
IF(D550="Single-choice w/ correct",I550, 
IF(D550="Series", LEFT(I550, FIND("    ",I550)
))))))</f>
        <v>Gender</v>
      </c>
      <c r="F550" s="8" t="str">
        <f aca="false">IF(D550="PRE",I550,
IF(D550="SUP",I550,
IF(D550="Single-choice","N/A",
IF(D550="Single-choice w/ correct","N/A",
IF(D550="Series", RIGHT(I550, LEN(I550) - FIND("    ",I550)-3
))))))</f>
        <v>Gender</v>
      </c>
      <c r="G550" s="6" t="s">
        <v>16</v>
      </c>
      <c r="H550" s="10" t="s">
        <v>471</v>
      </c>
      <c r="I550" s="9" t="s">
        <v>472</v>
      </c>
      <c r="J550" s="10" t="n">
        <v>2</v>
      </c>
      <c r="K550" s="10" t="s">
        <v>474</v>
      </c>
    </row>
    <row r="551" customFormat="false" ht="15" hidden="false" customHeight="false" outlineLevel="0" collapsed="false">
      <c r="A551" s="1" t="s">
        <v>13</v>
      </c>
      <c r="B551" s="1" t="s">
        <v>437</v>
      </c>
      <c r="C551" s="1" t="str">
        <f aca="false">IF(D551="PRE","N/A",
IF(D551="SUP","N/A",
IF(D551="Single-choice",H551,
IF(D551="Single-choice w/ correct",H551,
IF(D551="Series", LEFT(H551,FIND("_",H551)-1) &amp; "_" &amp; MID(H551,FIND("_",H551,FIND("_",H551)+1)+1,999)
)))))</f>
        <v>N/A</v>
      </c>
      <c r="D551" s="6" t="s">
        <v>438</v>
      </c>
      <c r="E551" s="7" t="str">
        <f aca="false">IF(D551="PRE","N/A", 
IF(D551="SUP",I551, 
IF(D551="Single-choice",I551, 
IF(D551="Single-choice w/ correct",I551, 
IF(D551="Series", LEFT(I551, FIND("    ",I551)
))))))</f>
        <v>Gender</v>
      </c>
      <c r="F551" s="8" t="str">
        <f aca="false">IF(D551="PRE",I551,
IF(D551="SUP",I551,
IF(D551="Single-choice","N/A",
IF(D551="Single-choice w/ correct","N/A",
IF(D551="Series", RIGHT(I551, LEN(I551) - FIND("    ",I551)-3
))))))</f>
        <v>Gender</v>
      </c>
      <c r="G551" s="6" t="s">
        <v>16</v>
      </c>
      <c r="H551" s="10" t="s">
        <v>471</v>
      </c>
      <c r="I551" s="9" t="s">
        <v>472</v>
      </c>
      <c r="J551" s="10" t="n">
        <v>3</v>
      </c>
      <c r="K551" s="10" t="s">
        <v>475</v>
      </c>
    </row>
    <row r="552" customFormat="false" ht="15" hidden="false" customHeight="false" outlineLevel="0" collapsed="false">
      <c r="A552" s="1" t="s">
        <v>13</v>
      </c>
      <c r="B552" s="1" t="s">
        <v>437</v>
      </c>
      <c r="C552" s="1" t="str">
        <f aca="false">IF(D552="PRE","N/A",
IF(D552="SUP","N/A",
IF(D552="Single-choice",H552,
IF(D552="Single-choice w/ correct",H552,
IF(D552="Series", LEFT(H552,FIND("_",H552)-1) &amp; "_" &amp; MID(H552,FIND("_",H552,FIND("_",H552)+1)+1,999)
)))))</f>
        <v>N/A</v>
      </c>
      <c r="D552" s="6" t="s">
        <v>438</v>
      </c>
      <c r="E552" s="7" t="str">
        <f aca="false">IF(D552="PRE","N/A", 
IF(D552="SUP",I552, 
IF(D552="Single-choice",I552, 
IF(D552="Single-choice w/ correct",I552, 
IF(D552="Series", LEFT(I552, FIND("    ",I552)
))))))</f>
        <v>Gender</v>
      </c>
      <c r="F552" s="8" t="str">
        <f aca="false">IF(D552="PRE",I552,
IF(D552="SUP",I552,
IF(D552="Single-choice","N/A",
IF(D552="Single-choice w/ correct","N/A",
IF(D552="Series", RIGHT(I552, LEN(I552) - FIND("    ",I552)-3
))))))</f>
        <v>Gender</v>
      </c>
      <c r="G552" s="6" t="s">
        <v>16</v>
      </c>
      <c r="H552" s="10" t="s">
        <v>471</v>
      </c>
      <c r="I552" s="9" t="s">
        <v>472</v>
      </c>
      <c r="J552" s="10" t="n">
        <v>99</v>
      </c>
      <c r="K552" s="10" t="s">
        <v>64</v>
      </c>
    </row>
    <row r="553" customFormat="false" ht="15" hidden="false" customHeight="true" outlineLevel="0" collapsed="false">
      <c r="A553" s="1" t="s">
        <v>13</v>
      </c>
      <c r="B553" s="1" t="s">
        <v>437</v>
      </c>
      <c r="C553" s="1" t="str">
        <f aca="false">IF(D553="PRE","N/A",
IF(D553="SUP","N/A",
IF(D553="Single-choice",H553,
IF(D553="Single-choice w/ correct",H553,
IF(D553="Series", LEFT(H553,FIND("_",H553)-1) &amp; "_" &amp; MID(H553,FIND("_",H553,FIND("_",H553)+1)+1,999)
)))))</f>
        <v>N/A</v>
      </c>
      <c r="D553" s="6" t="s">
        <v>438</v>
      </c>
      <c r="E553" s="7" t="str">
        <f aca="false">IF(D553="PRE","N/A", 
IF(D553="SUP",I553, 
IF(D553="Single-choice",I553, 
IF(D553="Single-choice w/ correct",I553, 
IF(D553="Series", LEFT(I553, FIND("    ",I553)
))))))</f>
        <v>Education level category</v>
      </c>
      <c r="F553" s="8" t="str">
        <f aca="false">IF(D553="PRE",I553,
IF(D553="SUP",I553,
IF(D553="Single-choice","N/A",
IF(D553="Single-choice w/ correct","N/A",
IF(D553="Series", RIGHT(I553, LEN(I553) - FIND("    ",I553)-3
))))))</f>
        <v>Education level category</v>
      </c>
      <c r="G553" s="6" t="s">
        <v>16</v>
      </c>
      <c r="H553" s="6" t="s">
        <v>476</v>
      </c>
      <c r="I553" s="9" t="s">
        <v>477</v>
      </c>
      <c r="J553" s="6" t="n">
        <v>1</v>
      </c>
      <c r="K553" s="6" t="s">
        <v>478</v>
      </c>
    </row>
    <row r="554" customFormat="false" ht="15" hidden="false" customHeight="false" outlineLevel="0" collapsed="false">
      <c r="A554" s="1" t="s">
        <v>13</v>
      </c>
      <c r="B554" s="1" t="s">
        <v>437</v>
      </c>
      <c r="C554" s="1" t="str">
        <f aca="false">IF(D554="PRE","N/A",
IF(D554="SUP","N/A",
IF(D554="Single-choice",H554,
IF(D554="Single-choice w/ correct",H554,
IF(D554="Series", LEFT(H554,FIND("_",H554)-1) &amp; "_" &amp; MID(H554,FIND("_",H554,FIND("_",H554)+1)+1,999)
)))))</f>
        <v>N/A</v>
      </c>
      <c r="D554" s="6" t="s">
        <v>438</v>
      </c>
      <c r="E554" s="7" t="str">
        <f aca="false">IF(D554="PRE","N/A", 
IF(D554="SUP",I554, 
IF(D554="Single-choice",I554, 
IF(D554="Single-choice w/ correct",I554, 
IF(D554="Series", LEFT(I554, FIND("    ",I554)
))))))</f>
        <v>Education level category</v>
      </c>
      <c r="F554" s="8" t="str">
        <f aca="false">IF(D554="PRE",I554,
IF(D554="SUP",I554,
IF(D554="Single-choice","N/A",
IF(D554="Single-choice w/ correct","N/A",
IF(D554="Series", RIGHT(I554, LEN(I554) - FIND("    ",I554)-3
))))))</f>
        <v>Education level category</v>
      </c>
      <c r="G554" s="6" t="s">
        <v>16</v>
      </c>
      <c r="H554" s="10" t="s">
        <v>476</v>
      </c>
      <c r="I554" s="9" t="s">
        <v>477</v>
      </c>
      <c r="J554" s="10" t="n">
        <v>2</v>
      </c>
      <c r="K554" s="10" t="s">
        <v>479</v>
      </c>
    </row>
    <row r="555" customFormat="false" ht="15" hidden="false" customHeight="false" outlineLevel="0" collapsed="false">
      <c r="A555" s="1" t="s">
        <v>13</v>
      </c>
      <c r="B555" s="1" t="s">
        <v>437</v>
      </c>
      <c r="C555" s="1" t="str">
        <f aca="false">IF(D555="PRE","N/A",
IF(D555="SUP","N/A",
IF(D555="Single-choice",H555,
IF(D555="Single-choice w/ correct",H555,
IF(D555="Series", LEFT(H555,FIND("_",H555)-1) &amp; "_" &amp; MID(H555,FIND("_",H555,FIND("_",H555)+1)+1,999)
)))))</f>
        <v>N/A</v>
      </c>
      <c r="D555" s="6" t="s">
        <v>438</v>
      </c>
      <c r="E555" s="7" t="str">
        <f aca="false">IF(D555="PRE","N/A", 
IF(D555="SUP",I555, 
IF(D555="Single-choice",I555, 
IF(D555="Single-choice w/ correct",I555, 
IF(D555="Series", LEFT(I555, FIND("    ",I555)
))))))</f>
        <v>Education level category</v>
      </c>
      <c r="F555" s="8" t="str">
        <f aca="false">IF(D555="PRE",I555,
IF(D555="SUP",I555,
IF(D555="Single-choice","N/A",
IF(D555="Single-choice w/ correct","N/A",
IF(D555="Series", RIGHT(I555, LEN(I555) - FIND("    ",I555)-3
))))))</f>
        <v>Education level category</v>
      </c>
      <c r="G555" s="6" t="s">
        <v>16</v>
      </c>
      <c r="H555" s="10" t="s">
        <v>476</v>
      </c>
      <c r="I555" s="9" t="s">
        <v>477</v>
      </c>
      <c r="J555" s="10" t="n">
        <v>3</v>
      </c>
      <c r="K555" s="10" t="s">
        <v>480</v>
      </c>
    </row>
    <row r="556" customFormat="false" ht="15" hidden="false" customHeight="false" outlineLevel="0" collapsed="false">
      <c r="A556" s="1" t="s">
        <v>13</v>
      </c>
      <c r="B556" s="1" t="s">
        <v>437</v>
      </c>
      <c r="C556" s="1" t="str">
        <f aca="false">IF(D556="PRE","N/A",
IF(D556="SUP","N/A",
IF(D556="Single-choice",H556,
IF(D556="Single-choice w/ correct",H556,
IF(D556="Series", LEFT(H556,FIND("_",H556)-1) &amp; "_" &amp; MID(H556,FIND("_",H556,FIND("_",H556)+1)+1,999)
)))))</f>
        <v>N/A</v>
      </c>
      <c r="D556" s="6" t="s">
        <v>438</v>
      </c>
      <c r="E556" s="7" t="str">
        <f aca="false">IF(D556="PRE","N/A", 
IF(D556="SUP",I556, 
IF(D556="Single-choice",I556, 
IF(D556="Single-choice w/ correct",I556, 
IF(D556="Series", LEFT(I556, FIND("    ",I556)
))))))</f>
        <v>Education level category</v>
      </c>
      <c r="F556" s="8" t="str">
        <f aca="false">IF(D556="PRE",I556,
IF(D556="SUP",I556,
IF(D556="Single-choice","N/A",
IF(D556="Single-choice w/ correct","N/A",
IF(D556="Series", RIGHT(I556, LEN(I556) - FIND("    ",I556)-3
))))))</f>
        <v>Education level category</v>
      </c>
      <c r="G556" s="6" t="s">
        <v>16</v>
      </c>
      <c r="H556" s="10" t="s">
        <v>476</v>
      </c>
      <c r="I556" s="9" t="s">
        <v>477</v>
      </c>
      <c r="J556" s="10" t="n">
        <v>99</v>
      </c>
      <c r="K556" s="10" t="s">
        <v>64</v>
      </c>
    </row>
    <row r="557" customFormat="false" ht="15" hidden="false" customHeight="true" outlineLevel="0" collapsed="false">
      <c r="A557" s="1" t="s">
        <v>13</v>
      </c>
      <c r="B557" s="1" t="s">
        <v>437</v>
      </c>
      <c r="C557" s="1" t="str">
        <f aca="false">IF(D557="PRE","N/A",
IF(D557="SUP","N/A",
IF(D557="Single-choice",H557,
IF(D557="Single-choice w/ correct",H557,
IF(D557="Series", LEFT(H557,FIND("_",H557)-1) &amp; "_" &amp; MID(H557,FIND("_",H557,FIND("_",H557)+1)+1,999)
)))))</f>
        <v>N/A</v>
      </c>
      <c r="D557" s="6" t="s">
        <v>438</v>
      </c>
      <c r="E557" s="7" t="str">
        <f aca="false">IF(D557="PRE","N/A", 
IF(D557="SUP",I557, 
IF(D557="Single-choice",I557, 
IF(D557="Single-choice w/ correct",I557, 
IF(D557="Series", LEFT(I557, FIND("    ",I557)
))))))</f>
        <v>Education level category 2</v>
      </c>
      <c r="F557" s="8" t="str">
        <f aca="false">IF(D557="PRE",I557,
IF(D557="SUP",I557,
IF(D557="Single-choice","N/A",
IF(D557="Single-choice w/ correct","N/A",
IF(D557="Series", RIGHT(I557, LEN(I557) - FIND("    ",I557)-3
))))))</f>
        <v>Education level category 2</v>
      </c>
      <c r="G557" s="6" t="s">
        <v>16</v>
      </c>
      <c r="H557" s="6" t="s">
        <v>481</v>
      </c>
      <c r="I557" s="9" t="s">
        <v>482</v>
      </c>
      <c r="J557" s="6" t="n">
        <v>1</v>
      </c>
      <c r="K557" s="6" t="s">
        <v>483</v>
      </c>
    </row>
    <row r="558" customFormat="false" ht="15" hidden="false" customHeight="false" outlineLevel="0" collapsed="false">
      <c r="A558" s="1" t="s">
        <v>13</v>
      </c>
      <c r="B558" s="1" t="s">
        <v>437</v>
      </c>
      <c r="C558" s="1" t="str">
        <f aca="false">IF(D558="PRE","N/A",
IF(D558="SUP","N/A",
IF(D558="Single-choice",H558,
IF(D558="Single-choice w/ correct",H558,
IF(D558="Series", LEFT(H558,FIND("_",H558)-1) &amp; "_" &amp; MID(H558,FIND("_",H558,FIND("_",H558)+1)+1,999)
)))))</f>
        <v>N/A</v>
      </c>
      <c r="D558" s="6" t="s">
        <v>438</v>
      </c>
      <c r="E558" s="7" t="str">
        <f aca="false">IF(D558="PRE","N/A", 
IF(D558="SUP",I558, 
IF(D558="Single-choice",I558, 
IF(D558="Single-choice w/ correct",I558, 
IF(D558="Series", LEFT(I558, FIND("    ",I558)
))))))</f>
        <v>Education level category 2</v>
      </c>
      <c r="F558" s="8" t="str">
        <f aca="false">IF(D558="PRE",I558,
IF(D558="SUP",I558,
IF(D558="Single-choice","N/A",
IF(D558="Single-choice w/ correct","N/A",
IF(D558="Series", RIGHT(I558, LEN(I558) - FIND("    ",I558)-3
))))))</f>
        <v>Education level category 2</v>
      </c>
      <c r="G558" s="6" t="s">
        <v>16</v>
      </c>
      <c r="H558" s="10" t="s">
        <v>481</v>
      </c>
      <c r="I558" s="9" t="s">
        <v>482</v>
      </c>
      <c r="J558" s="10" t="n">
        <v>2</v>
      </c>
      <c r="K558" s="10" t="s">
        <v>484</v>
      </c>
    </row>
    <row r="559" customFormat="false" ht="15" hidden="false" customHeight="false" outlineLevel="0" collapsed="false">
      <c r="A559" s="1" t="s">
        <v>13</v>
      </c>
      <c r="B559" s="1" t="s">
        <v>437</v>
      </c>
      <c r="C559" s="1" t="str">
        <f aca="false">IF(D559="PRE","N/A",
IF(D559="SUP","N/A",
IF(D559="Single-choice",H559,
IF(D559="Single-choice w/ correct",H559,
IF(D559="Series", LEFT(H559,FIND("_",H559)-1) &amp; "_" &amp; MID(H559,FIND("_",H559,FIND("_",H559)+1)+1,999)
)))))</f>
        <v>N/A</v>
      </c>
      <c r="D559" s="6" t="s">
        <v>438</v>
      </c>
      <c r="E559" s="7" t="str">
        <f aca="false">IF(D559="PRE","N/A", 
IF(D559="SUP",I559, 
IF(D559="Single-choice",I559, 
IF(D559="Single-choice w/ correct",I559, 
IF(D559="Series", LEFT(I559, FIND("    ",I559)
))))))</f>
        <v>Education level category 2</v>
      </c>
      <c r="F559" s="8" t="str">
        <f aca="false">IF(D559="PRE",I559,
IF(D559="SUP",I559,
IF(D559="Single-choice","N/A",
IF(D559="Single-choice w/ correct","N/A",
IF(D559="Series", RIGHT(I559, LEN(I559) - FIND("    ",I559)-3
))))))</f>
        <v>Education level category 2</v>
      </c>
      <c r="G559" s="6" t="s">
        <v>16</v>
      </c>
      <c r="H559" s="10" t="s">
        <v>481</v>
      </c>
      <c r="I559" s="9" t="s">
        <v>482</v>
      </c>
      <c r="J559" s="10" t="n">
        <v>3</v>
      </c>
      <c r="K559" s="10" t="s">
        <v>485</v>
      </c>
    </row>
    <row r="560" customFormat="false" ht="15" hidden="false" customHeight="false" outlineLevel="0" collapsed="false">
      <c r="A560" s="1" t="s">
        <v>13</v>
      </c>
      <c r="B560" s="1" t="s">
        <v>437</v>
      </c>
      <c r="C560" s="1" t="str">
        <f aca="false">IF(D560="PRE","N/A",
IF(D560="SUP","N/A",
IF(D560="Single-choice",H560,
IF(D560="Single-choice w/ correct",H560,
IF(D560="Series", LEFT(H560,FIND("_",H560)-1) &amp; "_" &amp; MID(H560,FIND("_",H560,FIND("_",H560)+1)+1,999)
)))))</f>
        <v>N/A</v>
      </c>
      <c r="D560" s="6" t="s">
        <v>438</v>
      </c>
      <c r="E560" s="7" t="str">
        <f aca="false">IF(D560="PRE","N/A", 
IF(D560="SUP",I560, 
IF(D560="Single-choice",I560, 
IF(D560="Single-choice w/ correct",I560, 
IF(D560="Series", LEFT(I560, FIND("    ",I560)
))))))</f>
        <v>Education level category 2</v>
      </c>
      <c r="F560" s="8" t="str">
        <f aca="false">IF(D560="PRE",I560,
IF(D560="SUP",I560,
IF(D560="Single-choice","N/A",
IF(D560="Single-choice w/ correct","N/A",
IF(D560="Series", RIGHT(I560, LEN(I560) - FIND("    ",I560)-3
))))))</f>
        <v>Education level category 2</v>
      </c>
      <c r="G560" s="6" t="s">
        <v>16</v>
      </c>
      <c r="H560" s="10" t="s">
        <v>481</v>
      </c>
      <c r="I560" s="9" t="s">
        <v>482</v>
      </c>
      <c r="J560" s="10" t="n">
        <v>4</v>
      </c>
      <c r="K560" s="10" t="s">
        <v>486</v>
      </c>
    </row>
    <row r="561" customFormat="false" ht="15" hidden="false" customHeight="false" outlineLevel="0" collapsed="false">
      <c r="A561" s="1" t="s">
        <v>13</v>
      </c>
      <c r="B561" s="1" t="s">
        <v>437</v>
      </c>
      <c r="C561" s="1" t="str">
        <f aca="false">IF(D561="PRE","N/A",
IF(D561="SUP","N/A",
IF(D561="Single-choice",H561,
IF(D561="Single-choice w/ correct",H561,
IF(D561="Series", LEFT(H561,FIND("_",H561)-1) &amp; "_" &amp; MID(H561,FIND("_",H561,FIND("_",H561)+1)+1,999)
)))))</f>
        <v>N/A</v>
      </c>
      <c r="D561" s="6" t="s">
        <v>438</v>
      </c>
      <c r="E561" s="7" t="str">
        <f aca="false">IF(D561="PRE","N/A", 
IF(D561="SUP",I561, 
IF(D561="Single-choice",I561, 
IF(D561="Single-choice w/ correct",I561, 
IF(D561="Series", LEFT(I561, FIND("    ",I561)
))))))</f>
        <v>Education level category 2</v>
      </c>
      <c r="F561" s="8" t="str">
        <f aca="false">IF(D561="PRE",I561,
IF(D561="SUP",I561,
IF(D561="Single-choice","N/A",
IF(D561="Single-choice w/ correct","N/A",
IF(D561="Series", RIGHT(I561, LEN(I561) - FIND("    ",I561)-3
))))))</f>
        <v>Education level category 2</v>
      </c>
      <c r="G561" s="6" t="s">
        <v>16</v>
      </c>
      <c r="H561" s="10" t="s">
        <v>481</v>
      </c>
      <c r="I561" s="9" t="s">
        <v>482</v>
      </c>
      <c r="J561" s="10" t="n">
        <v>5</v>
      </c>
      <c r="K561" s="10" t="s">
        <v>487</v>
      </c>
    </row>
    <row r="562" customFormat="false" ht="15" hidden="false" customHeight="false" outlineLevel="0" collapsed="false">
      <c r="A562" s="1" t="s">
        <v>13</v>
      </c>
      <c r="B562" s="1" t="s">
        <v>437</v>
      </c>
      <c r="C562" s="1" t="str">
        <f aca="false">IF(D562="PRE","N/A",
IF(D562="SUP","N/A",
IF(D562="Single-choice",H562,
IF(D562="Single-choice w/ correct",H562,
IF(D562="Series", LEFT(H562,FIND("_",H562)-1) &amp; "_" &amp; MID(H562,FIND("_",H562,FIND("_",H562)+1)+1,999)
)))))</f>
        <v>N/A</v>
      </c>
      <c r="D562" s="6" t="s">
        <v>438</v>
      </c>
      <c r="E562" s="7" t="str">
        <f aca="false">IF(D562="PRE","N/A", 
IF(D562="SUP",I562, 
IF(D562="Single-choice",I562, 
IF(D562="Single-choice w/ correct",I562, 
IF(D562="Series", LEFT(I562, FIND("    ",I562)
))))))</f>
        <v>Education level category 2</v>
      </c>
      <c r="F562" s="8" t="str">
        <f aca="false">IF(D562="PRE",I562,
IF(D562="SUP",I562,
IF(D562="Single-choice","N/A",
IF(D562="Single-choice w/ correct","N/A",
IF(D562="Series", RIGHT(I562, LEN(I562) - FIND("    ",I562)-3
))))))</f>
        <v>Education level category 2</v>
      </c>
      <c r="G562" s="6" t="s">
        <v>16</v>
      </c>
      <c r="H562" s="10" t="s">
        <v>481</v>
      </c>
      <c r="I562" s="9" t="s">
        <v>482</v>
      </c>
      <c r="J562" s="10" t="n">
        <v>6</v>
      </c>
      <c r="K562" s="10" t="s">
        <v>488</v>
      </c>
    </row>
    <row r="563" customFormat="false" ht="15" hidden="false" customHeight="false" outlineLevel="0" collapsed="false">
      <c r="A563" s="1" t="s">
        <v>13</v>
      </c>
      <c r="B563" s="1" t="s">
        <v>437</v>
      </c>
      <c r="C563" s="1" t="str">
        <f aca="false">IF(D563="PRE","N/A",
IF(D563="SUP","N/A",
IF(D563="Single-choice",H563,
IF(D563="Single-choice w/ correct",H563,
IF(D563="Series", LEFT(H563,FIND("_",H563)-1) &amp; "_" &amp; MID(H563,FIND("_",H563,FIND("_",H563)+1)+1,999)
)))))</f>
        <v>N/A</v>
      </c>
      <c r="D563" s="6" t="s">
        <v>438</v>
      </c>
      <c r="E563" s="7" t="str">
        <f aca="false">IF(D563="PRE","N/A", 
IF(D563="SUP",I563, 
IF(D563="Single-choice",I563, 
IF(D563="Single-choice w/ correct",I563, 
IF(D563="Series", LEFT(I563, FIND("    ",I563)
))))))</f>
        <v>Education level category 2</v>
      </c>
      <c r="F563" s="8" t="str">
        <f aca="false">IF(D563="PRE",I563,
IF(D563="SUP",I563,
IF(D563="Single-choice","N/A",
IF(D563="Single-choice w/ correct","N/A",
IF(D563="Series", RIGHT(I563, LEN(I563) - FIND("    ",I563)-3
))))))</f>
        <v>Education level category 2</v>
      </c>
      <c r="G563" s="6" t="s">
        <v>16</v>
      </c>
      <c r="H563" s="10" t="s">
        <v>481</v>
      </c>
      <c r="I563" s="9" t="s">
        <v>482</v>
      </c>
      <c r="J563" s="10" t="n">
        <v>99</v>
      </c>
      <c r="K563" s="10" t="s">
        <v>64</v>
      </c>
    </row>
    <row r="564" customFormat="false" ht="15" hidden="false" customHeight="true" outlineLevel="0" collapsed="false">
      <c r="A564" s="1" t="s">
        <v>13</v>
      </c>
      <c r="B564" s="1" t="s">
        <v>437</v>
      </c>
      <c r="C564" s="1" t="str">
        <f aca="false">IF(D564="PRE","N/A",
IF(D564="SUP","N/A",
IF(D564="Single-choice",H564,
IF(D564="Single-choice w/ correct",H564,
IF(D564="Series", LEFT(H564,FIND("_",H564)-1) &amp; "_" &amp; MID(H564,FIND("_",H564,FIND("_",H564)+1)+1,999)
)))))</f>
        <v>N/A</v>
      </c>
      <c r="D564" s="6" t="s">
        <v>438</v>
      </c>
      <c r="E564" s="7" t="str">
        <f aca="false">IF(D564="PRE","N/A", 
IF(D564="SUP",I564, 
IF(D564="Single-choice",I564, 
IF(D564="Single-choice w/ correct",I564, 
IF(D564="Series", LEFT(I564, FIND("    ",I564)
))))))</f>
        <v>Hispanic identification</v>
      </c>
      <c r="F564" s="8" t="str">
        <f aca="false">IF(D564="PRE",I564,
IF(D564="SUP",I564,
IF(D564="Single-choice","N/A",
IF(D564="Single-choice w/ correct","N/A",
IF(D564="Series", RIGHT(I564, LEN(I564) - FIND("    ",I564)-3
))))))</f>
        <v>Hispanic identification</v>
      </c>
      <c r="G564" s="6" t="s">
        <v>16</v>
      </c>
      <c r="H564" s="6" t="s">
        <v>489</v>
      </c>
      <c r="I564" s="9" t="s">
        <v>490</v>
      </c>
      <c r="J564" s="6" t="n">
        <v>1</v>
      </c>
      <c r="K564" s="6" t="s">
        <v>269</v>
      </c>
    </row>
    <row r="565" customFormat="false" ht="15" hidden="false" customHeight="false" outlineLevel="0" collapsed="false">
      <c r="A565" s="1" t="s">
        <v>13</v>
      </c>
      <c r="B565" s="1" t="s">
        <v>437</v>
      </c>
      <c r="C565" s="1" t="str">
        <f aca="false">IF(D565="PRE","N/A",
IF(D565="SUP","N/A",
IF(D565="Single-choice",H565,
IF(D565="Single-choice w/ correct",H565,
IF(D565="Series", LEFT(H565,FIND("_",H565)-1) &amp; "_" &amp; MID(H565,FIND("_",H565,FIND("_",H565)+1)+1,999)
)))))</f>
        <v>N/A</v>
      </c>
      <c r="D565" s="6" t="s">
        <v>438</v>
      </c>
      <c r="E565" s="7" t="str">
        <f aca="false">IF(D565="PRE","N/A", 
IF(D565="SUP",I565, 
IF(D565="Single-choice",I565, 
IF(D565="Single-choice w/ correct",I565, 
IF(D565="Series", LEFT(I565, FIND("    ",I565)
))))))</f>
        <v>Hispanic identification</v>
      </c>
      <c r="F565" s="8" t="str">
        <f aca="false">IF(D565="PRE",I565,
IF(D565="SUP",I565,
IF(D565="Single-choice","N/A",
IF(D565="Single-choice w/ correct","N/A",
IF(D565="Series", RIGHT(I565, LEN(I565) - FIND("    ",I565)-3
))))))</f>
        <v>Hispanic identification</v>
      </c>
      <c r="G565" s="6" t="s">
        <v>16</v>
      </c>
      <c r="H565" s="10" t="s">
        <v>489</v>
      </c>
      <c r="I565" s="9" t="s">
        <v>490</v>
      </c>
      <c r="J565" s="10" t="n">
        <v>2</v>
      </c>
      <c r="K565" s="10" t="s">
        <v>270</v>
      </c>
    </row>
    <row r="566" customFormat="false" ht="15" hidden="false" customHeight="false" outlineLevel="0" collapsed="false">
      <c r="A566" s="1" t="s">
        <v>13</v>
      </c>
      <c r="B566" s="1" t="s">
        <v>437</v>
      </c>
      <c r="C566" s="1" t="str">
        <f aca="false">IF(D566="PRE","N/A",
IF(D566="SUP","N/A",
IF(D566="Single-choice",H566,
IF(D566="Single-choice w/ correct",H566,
IF(D566="Series", LEFT(H566,FIND("_",H566)-1) &amp; "_" &amp; MID(H566,FIND("_",H566,FIND("_",H566)+1)+1,999)
)))))</f>
        <v>N/A</v>
      </c>
      <c r="D566" s="6" t="s">
        <v>438</v>
      </c>
      <c r="E566" s="7" t="str">
        <f aca="false">IF(D566="PRE","N/A", 
IF(D566="SUP",I566, 
IF(D566="Single-choice",I566, 
IF(D566="Single-choice w/ correct",I566, 
IF(D566="Series", LEFT(I566, FIND("    ",I566)
))))))</f>
        <v>Hispanic identification</v>
      </c>
      <c r="F566" s="8" t="str">
        <f aca="false">IF(D566="PRE",I566,
IF(D566="SUP",I566,
IF(D566="Single-choice","N/A",
IF(D566="Single-choice w/ correct","N/A",
IF(D566="Series", RIGHT(I566, LEN(I566) - FIND("    ",I566)-3
))))))</f>
        <v>Hispanic identification</v>
      </c>
      <c r="G566" s="6" t="s">
        <v>16</v>
      </c>
      <c r="H566" s="10" t="s">
        <v>489</v>
      </c>
      <c r="I566" s="9" t="s">
        <v>490</v>
      </c>
      <c r="J566" s="10" t="n">
        <v>99</v>
      </c>
      <c r="K566" s="10" t="s">
        <v>64</v>
      </c>
    </row>
    <row r="567" customFormat="false" ht="15" hidden="false" customHeight="true" outlineLevel="0" collapsed="false">
      <c r="A567" s="1" t="s">
        <v>13</v>
      </c>
      <c r="B567" s="1" t="s">
        <v>437</v>
      </c>
      <c r="C567" s="1" t="str">
        <f aca="false">IF(D567="PRE","N/A",
IF(D567="SUP","N/A",
IF(D567="Single-choice",H567,
IF(D567="Single-choice w/ correct",H567,
IF(D567="Series", LEFT(H567,FIND("_",H567)-1) &amp; "_" &amp; MID(H567,FIND("_",H567,FIND("_",H567)+1)+1,999)
)))))</f>
        <v>N/A</v>
      </c>
      <c r="D567" s="6" t="s">
        <v>438</v>
      </c>
      <c r="E567" s="7" t="str">
        <f aca="false">IF(D567="PRE","N/A", 
IF(D567="SUP",I567, 
IF(D567="Single-choice",I567, 
IF(D567="Single-choice w/ correct",I567, 
IF(D567="Series", LEFT(I567, FIND("    ",I567)
))))))</f>
        <v>Hispanic origin</v>
      </c>
      <c r="F567" s="8" t="str">
        <f aca="false">IF(D567="PRE",I567,
IF(D567="SUP",I567,
IF(D567="Single-choice","N/A",
IF(D567="Single-choice w/ correct","N/A",
IF(D567="Series", RIGHT(I567, LEN(I567) - FIND("    ",I567)-3
))))))</f>
        <v>Hispanic origin</v>
      </c>
      <c r="G567" s="6" t="s">
        <v>16</v>
      </c>
      <c r="H567" s="6" t="s">
        <v>491</v>
      </c>
      <c r="I567" s="9" t="s">
        <v>492</v>
      </c>
      <c r="J567" s="6" t="n">
        <v>1</v>
      </c>
      <c r="K567" s="6" t="s">
        <v>493</v>
      </c>
    </row>
    <row r="568" customFormat="false" ht="15" hidden="false" customHeight="false" outlineLevel="0" collapsed="false">
      <c r="A568" s="1" t="s">
        <v>13</v>
      </c>
      <c r="B568" s="1" t="s">
        <v>437</v>
      </c>
      <c r="C568" s="1" t="str">
        <f aca="false">IF(D568="PRE","N/A",
IF(D568="SUP","N/A",
IF(D568="Single-choice",H568,
IF(D568="Single-choice w/ correct",H568,
IF(D568="Series", LEFT(H568,FIND("_",H568)-1) &amp; "_" &amp; MID(H568,FIND("_",H568,FIND("_",H568)+1)+1,999)
)))))</f>
        <v>N/A</v>
      </c>
      <c r="D568" s="6" t="s">
        <v>438</v>
      </c>
      <c r="E568" s="7" t="str">
        <f aca="false">IF(D568="PRE","N/A", 
IF(D568="SUP",I568, 
IF(D568="Single-choice",I568, 
IF(D568="Single-choice w/ correct",I568, 
IF(D568="Series", LEFT(I568, FIND("    ",I568)
))))))</f>
        <v>Hispanic origin</v>
      </c>
      <c r="F568" s="8" t="str">
        <f aca="false">IF(D568="PRE",I568,
IF(D568="SUP",I568,
IF(D568="Single-choice","N/A",
IF(D568="Single-choice w/ correct","N/A",
IF(D568="Series", RIGHT(I568, LEN(I568) - FIND("    ",I568)-3
))))))</f>
        <v>Hispanic origin</v>
      </c>
      <c r="G568" s="6" t="s">
        <v>16</v>
      </c>
      <c r="H568" s="10" t="s">
        <v>491</v>
      </c>
      <c r="I568" s="9" t="s">
        <v>492</v>
      </c>
      <c r="J568" s="10" t="n">
        <v>2</v>
      </c>
      <c r="K568" s="10" t="s">
        <v>494</v>
      </c>
    </row>
    <row r="569" customFormat="false" ht="15" hidden="false" customHeight="false" outlineLevel="0" collapsed="false">
      <c r="A569" s="1" t="s">
        <v>13</v>
      </c>
      <c r="B569" s="1" t="s">
        <v>437</v>
      </c>
      <c r="C569" s="1" t="str">
        <f aca="false">IF(D569="PRE","N/A",
IF(D569="SUP","N/A",
IF(D569="Single-choice",H569,
IF(D569="Single-choice w/ correct",H569,
IF(D569="Series", LEFT(H569,FIND("_",H569)-1) &amp; "_" &amp; MID(H569,FIND("_",H569,FIND("_",H569)+1)+1,999)
)))))</f>
        <v>N/A</v>
      </c>
      <c r="D569" s="6" t="s">
        <v>438</v>
      </c>
      <c r="E569" s="7" t="str">
        <f aca="false">IF(D569="PRE","N/A", 
IF(D569="SUP",I569, 
IF(D569="Single-choice",I569, 
IF(D569="Single-choice w/ correct",I569, 
IF(D569="Series", LEFT(I569, FIND("    ",I569)
))))))</f>
        <v>Hispanic origin</v>
      </c>
      <c r="F569" s="8" t="str">
        <f aca="false">IF(D569="PRE",I569,
IF(D569="SUP",I569,
IF(D569="Single-choice","N/A",
IF(D569="Single-choice w/ correct","N/A",
IF(D569="Series", RIGHT(I569, LEN(I569) - FIND("    ",I569)-3
))))))</f>
        <v>Hispanic origin</v>
      </c>
      <c r="G569" s="6" t="s">
        <v>16</v>
      </c>
      <c r="H569" s="10" t="s">
        <v>491</v>
      </c>
      <c r="I569" s="9" t="s">
        <v>492</v>
      </c>
      <c r="J569" s="10" t="n">
        <v>3</v>
      </c>
      <c r="K569" s="10" t="s">
        <v>495</v>
      </c>
    </row>
    <row r="570" customFormat="false" ht="15" hidden="false" customHeight="false" outlineLevel="0" collapsed="false">
      <c r="A570" s="1" t="s">
        <v>13</v>
      </c>
      <c r="B570" s="1" t="s">
        <v>437</v>
      </c>
      <c r="C570" s="1" t="str">
        <f aca="false">IF(D570="PRE","N/A",
IF(D570="SUP","N/A",
IF(D570="Single-choice",H570,
IF(D570="Single-choice w/ correct",H570,
IF(D570="Series", LEFT(H570,FIND("_",H570)-1) &amp; "_" &amp; MID(H570,FIND("_",H570,FIND("_",H570)+1)+1,999)
)))))</f>
        <v>N/A</v>
      </c>
      <c r="D570" s="6" t="s">
        <v>438</v>
      </c>
      <c r="E570" s="7" t="str">
        <f aca="false">IF(D570="PRE","N/A", 
IF(D570="SUP",I570, 
IF(D570="Single-choice",I570, 
IF(D570="Single-choice w/ correct",I570, 
IF(D570="Series", LEFT(I570, FIND("    ",I570)
))))))</f>
        <v>Hispanic origin</v>
      </c>
      <c r="F570" s="8" t="str">
        <f aca="false">IF(D570="PRE",I570,
IF(D570="SUP",I570,
IF(D570="Single-choice","N/A",
IF(D570="Single-choice w/ correct","N/A",
IF(D570="Series", RIGHT(I570, LEN(I570) - FIND("    ",I570)-3
))))))</f>
        <v>Hispanic origin</v>
      </c>
      <c r="G570" s="6" t="s">
        <v>16</v>
      </c>
      <c r="H570" s="10" t="s">
        <v>491</v>
      </c>
      <c r="I570" s="9" t="s">
        <v>492</v>
      </c>
      <c r="J570" s="10" t="n">
        <v>4</v>
      </c>
      <c r="K570" s="10" t="s">
        <v>496</v>
      </c>
    </row>
    <row r="571" customFormat="false" ht="15" hidden="false" customHeight="false" outlineLevel="0" collapsed="false">
      <c r="A571" s="1" t="s">
        <v>13</v>
      </c>
      <c r="B571" s="1" t="s">
        <v>437</v>
      </c>
      <c r="C571" s="1" t="str">
        <f aca="false">IF(D571="PRE","N/A",
IF(D571="SUP","N/A",
IF(D571="Single-choice",H571,
IF(D571="Single-choice w/ correct",H571,
IF(D571="Series", LEFT(H571,FIND("_",H571)-1) &amp; "_" &amp; MID(H571,FIND("_",H571,FIND("_",H571)+1)+1,999)
)))))</f>
        <v>N/A</v>
      </c>
      <c r="D571" s="6" t="s">
        <v>438</v>
      </c>
      <c r="E571" s="7" t="str">
        <f aca="false">IF(D571="PRE","N/A", 
IF(D571="SUP",I571, 
IF(D571="Single-choice",I571, 
IF(D571="Single-choice w/ correct",I571, 
IF(D571="Series", LEFT(I571, FIND("    ",I571)
))))))</f>
        <v>Hispanic origin</v>
      </c>
      <c r="F571" s="8" t="str">
        <f aca="false">IF(D571="PRE",I571,
IF(D571="SUP",I571,
IF(D571="Single-choice","N/A",
IF(D571="Single-choice w/ correct","N/A",
IF(D571="Series", RIGHT(I571, LEN(I571) - FIND("    ",I571)-3
))))))</f>
        <v>Hispanic origin</v>
      </c>
      <c r="G571" s="6" t="s">
        <v>16</v>
      </c>
      <c r="H571" s="10" t="s">
        <v>491</v>
      </c>
      <c r="I571" s="9" t="s">
        <v>492</v>
      </c>
      <c r="J571" s="10" t="n">
        <v>5</v>
      </c>
      <c r="K571" s="10" t="s">
        <v>497</v>
      </c>
    </row>
    <row r="572" customFormat="false" ht="15" hidden="false" customHeight="false" outlineLevel="0" collapsed="false">
      <c r="A572" s="1" t="s">
        <v>13</v>
      </c>
      <c r="B572" s="1" t="s">
        <v>437</v>
      </c>
      <c r="C572" s="1" t="str">
        <f aca="false">IF(D572="PRE","N/A",
IF(D572="SUP","N/A",
IF(D572="Single-choice",H572,
IF(D572="Single-choice w/ correct",H572,
IF(D572="Series", LEFT(H572,FIND("_",H572)-1) &amp; "_" &amp; MID(H572,FIND("_",H572,FIND("_",H572)+1)+1,999)
)))))</f>
        <v>N/A</v>
      </c>
      <c r="D572" s="6" t="s">
        <v>438</v>
      </c>
      <c r="E572" s="7" t="str">
        <f aca="false">IF(D572="PRE","N/A", 
IF(D572="SUP",I572, 
IF(D572="Single-choice",I572, 
IF(D572="Single-choice w/ correct",I572, 
IF(D572="Series", LEFT(I572, FIND("    ",I572)
))))))</f>
        <v>Hispanic origin</v>
      </c>
      <c r="F572" s="8" t="str">
        <f aca="false">IF(D572="PRE",I572,
IF(D572="SUP",I572,
IF(D572="Single-choice","N/A",
IF(D572="Single-choice w/ correct","N/A",
IF(D572="Series", RIGHT(I572, LEN(I572) - FIND("    ",I572)-3
))))))</f>
        <v>Hispanic origin</v>
      </c>
      <c r="G572" s="6" t="s">
        <v>16</v>
      </c>
      <c r="H572" s="10" t="s">
        <v>491</v>
      </c>
      <c r="I572" s="9" t="s">
        <v>492</v>
      </c>
      <c r="J572" s="10" t="n">
        <v>6</v>
      </c>
      <c r="K572" s="10" t="s">
        <v>45</v>
      </c>
    </row>
    <row r="573" customFormat="false" ht="15" hidden="false" customHeight="false" outlineLevel="0" collapsed="false">
      <c r="A573" s="1" t="s">
        <v>13</v>
      </c>
      <c r="B573" s="1" t="s">
        <v>437</v>
      </c>
      <c r="C573" s="1" t="str">
        <f aca="false">IF(D573="PRE","N/A",
IF(D573="SUP","N/A",
IF(D573="Single-choice",H573,
IF(D573="Single-choice w/ correct",H573,
IF(D573="Series", LEFT(H573,FIND("_",H573)-1) &amp; "_" &amp; MID(H573,FIND("_",H573,FIND("_",H573)+1)+1,999)
)))))</f>
        <v>N/A</v>
      </c>
      <c r="D573" s="6" t="s">
        <v>438</v>
      </c>
      <c r="E573" s="7" t="str">
        <f aca="false">IF(D573="PRE","N/A", 
IF(D573="SUP",I573, 
IF(D573="Single-choice",I573, 
IF(D573="Single-choice w/ correct",I573, 
IF(D573="Series", LEFT(I573, FIND("    ",I573)
))))))</f>
        <v>Hispanic origin</v>
      </c>
      <c r="F573" s="8" t="str">
        <f aca="false">IF(D573="PRE",I573,
IF(D573="SUP",I573,
IF(D573="Single-choice","N/A",
IF(D573="Single-choice w/ correct","N/A",
IF(D573="Series", RIGHT(I573, LEN(I573) - FIND("    ",I573)-3
))))))</f>
        <v>Hispanic origin</v>
      </c>
      <c r="G573" s="6" t="s">
        <v>16</v>
      </c>
      <c r="H573" s="10" t="s">
        <v>491</v>
      </c>
      <c r="I573" s="9" t="s">
        <v>492</v>
      </c>
      <c r="J573" s="10" t="n">
        <v>7</v>
      </c>
      <c r="K573" s="10" t="s">
        <v>498</v>
      </c>
    </row>
    <row r="574" customFormat="false" ht="15" hidden="false" customHeight="false" outlineLevel="0" collapsed="false">
      <c r="A574" s="1" t="s">
        <v>13</v>
      </c>
      <c r="B574" s="1" t="s">
        <v>437</v>
      </c>
      <c r="C574" s="1" t="str">
        <f aca="false">IF(D574="PRE","N/A",
IF(D574="SUP","N/A",
IF(D574="Single-choice",H574,
IF(D574="Single-choice w/ correct",H574,
IF(D574="Series", LEFT(H574,FIND("_",H574)-1) &amp; "_" &amp; MID(H574,FIND("_",H574,FIND("_",H574)+1)+1,999)
)))))</f>
        <v>N/A</v>
      </c>
      <c r="D574" s="6" t="s">
        <v>438</v>
      </c>
      <c r="E574" s="7" t="str">
        <f aca="false">IF(D574="PRE","N/A", 
IF(D574="SUP",I574, 
IF(D574="Single-choice",I574, 
IF(D574="Single-choice w/ correct",I574, 
IF(D574="Series", LEFT(I574, FIND("    ",I574)
))))))</f>
        <v>Hispanic origin</v>
      </c>
      <c r="F574" s="8" t="str">
        <f aca="false">IF(D574="PRE",I574,
IF(D574="SUP",I574,
IF(D574="Single-choice","N/A",
IF(D574="Single-choice w/ correct","N/A",
IF(D574="Series", RIGHT(I574, LEN(I574) - FIND("    ",I574)-3
))))))</f>
        <v>Hispanic origin</v>
      </c>
      <c r="G574" s="6" t="s">
        <v>16</v>
      </c>
      <c r="H574" s="10" t="s">
        <v>491</v>
      </c>
      <c r="I574" s="9" t="s">
        <v>492</v>
      </c>
      <c r="J574" s="10" t="n">
        <v>8</v>
      </c>
      <c r="K574" s="10" t="s">
        <v>499</v>
      </c>
    </row>
    <row r="575" customFormat="false" ht="15" hidden="false" customHeight="false" outlineLevel="0" collapsed="false">
      <c r="A575" s="1" t="s">
        <v>13</v>
      </c>
      <c r="B575" s="1" t="s">
        <v>437</v>
      </c>
      <c r="C575" s="1" t="str">
        <f aca="false">IF(D575="PRE","N/A",
IF(D575="SUP","N/A",
IF(D575="Single-choice",H575,
IF(D575="Single-choice w/ correct",H575,
IF(D575="Series", LEFT(H575,FIND("_",H575)-1) &amp; "_" &amp; MID(H575,FIND("_",H575,FIND("_",H575)+1)+1,999)
)))))</f>
        <v>N/A</v>
      </c>
      <c r="D575" s="6" t="s">
        <v>438</v>
      </c>
      <c r="E575" s="7" t="str">
        <f aca="false">IF(D575="PRE","N/A", 
IF(D575="SUP",I575, 
IF(D575="Single-choice",I575, 
IF(D575="Single-choice w/ correct",I575, 
IF(D575="Series", LEFT(I575, FIND("    ",I575)
))))))</f>
        <v>Hispanic origin</v>
      </c>
      <c r="F575" s="8" t="str">
        <f aca="false">IF(D575="PRE",I575,
IF(D575="SUP",I575,
IF(D575="Single-choice","N/A",
IF(D575="Single-choice w/ correct","N/A",
IF(D575="Series", RIGHT(I575, LEN(I575) - FIND("    ",I575)-3
))))))</f>
        <v>Hispanic origin</v>
      </c>
      <c r="G575" s="6" t="s">
        <v>16</v>
      </c>
      <c r="H575" s="10" t="s">
        <v>491</v>
      </c>
      <c r="I575" s="9" t="s">
        <v>492</v>
      </c>
      <c r="J575" s="10" t="n">
        <v>97</v>
      </c>
      <c r="K575" s="10" t="s">
        <v>500</v>
      </c>
    </row>
    <row r="576" customFormat="false" ht="15" hidden="false" customHeight="false" outlineLevel="0" collapsed="false">
      <c r="A576" s="1" t="s">
        <v>13</v>
      </c>
      <c r="B576" s="1" t="s">
        <v>437</v>
      </c>
      <c r="C576" s="1" t="str">
        <f aca="false">IF(D576="PRE","N/A",
IF(D576="SUP","N/A",
IF(D576="Single-choice",H576,
IF(D576="Single-choice w/ correct",H576,
IF(D576="Series", LEFT(H576,FIND("_",H576)-1) &amp; "_" &amp; MID(H576,FIND("_",H576,FIND("_",H576)+1)+1,999)
)))))</f>
        <v>N/A</v>
      </c>
      <c r="D576" s="6" t="s">
        <v>438</v>
      </c>
      <c r="E576" s="7" t="str">
        <f aca="false">IF(D576="PRE","N/A", 
IF(D576="SUP",I576, 
IF(D576="Single-choice",I576, 
IF(D576="Single-choice w/ correct",I576, 
IF(D576="Series", LEFT(I576, FIND("    ",I576)
))))))</f>
        <v>Hispanic origin</v>
      </c>
      <c r="F576" s="8" t="str">
        <f aca="false">IF(D576="PRE",I576,
IF(D576="SUP",I576,
IF(D576="Single-choice","N/A",
IF(D576="Single-choice w/ correct","N/A",
IF(D576="Series", RIGHT(I576, LEN(I576) - FIND("    ",I576)-3
))))))</f>
        <v>Hispanic origin</v>
      </c>
      <c r="G576" s="6" t="s">
        <v>16</v>
      </c>
      <c r="H576" s="10" t="s">
        <v>491</v>
      </c>
      <c r="I576" s="9" t="s">
        <v>492</v>
      </c>
      <c r="J576" s="10" t="n">
        <v>99</v>
      </c>
      <c r="K576" s="10" t="s">
        <v>64</v>
      </c>
    </row>
    <row r="577" customFormat="false" ht="15" hidden="false" customHeight="true" outlineLevel="0" collapsed="false">
      <c r="A577" s="1" t="s">
        <v>13</v>
      </c>
      <c r="B577" s="1" t="s">
        <v>437</v>
      </c>
      <c r="C577" s="1" t="str">
        <f aca="false">IF(D577="PRE","N/A",
IF(D577="SUP","N/A",
IF(D577="Single-choice",H577,
IF(D577="Single-choice w/ correct",H577,
IF(D577="Series", LEFT(H577,FIND("_",H577)-1) &amp; "_" &amp; MID(H577,FIND("_",H577,FIND("_",H577)+1)+1,999)
)))))</f>
        <v>N/A</v>
      </c>
      <c r="D577" s="6" t="s">
        <v>438</v>
      </c>
      <c r="E577" s="7" t="str">
        <f aca="false">IF(D577="PRE","N/A", 
IF(D577="SUP",I577, 
IF(D577="Single-choice",I577, 
IF(D577="Single-choice w/ correct",I577, 
IF(D577="Series", LEFT(I577, FIND("    ",I577)
))))))</f>
        <v>Years lived in the United States (excluding Puerto Rico or other U.S. territories) - 4 category</v>
      </c>
      <c r="F577" s="8" t="str">
        <f aca="false">IF(D577="PRE",I577,
IF(D577="SUP",I577,
IF(D577="Single-choice","N/A",
IF(D577="Single-choice w/ correct","N/A",
IF(D577="Series", RIGHT(I577, LEN(I577) - FIND("    ",I577)-3
))))))</f>
        <v>Years lived in the United States (excluding Puerto Rico or other U.S. territories) - 4 category</v>
      </c>
      <c r="G577" s="6" t="s">
        <v>16</v>
      </c>
      <c r="H577" s="6" t="s">
        <v>501</v>
      </c>
      <c r="I577" s="9" t="s">
        <v>502</v>
      </c>
      <c r="J577" s="6" t="n">
        <v>1</v>
      </c>
      <c r="K577" s="6" t="s">
        <v>503</v>
      </c>
    </row>
    <row r="578" customFormat="false" ht="23.3" hidden="false" customHeight="false" outlineLevel="0" collapsed="false">
      <c r="A578" s="1" t="s">
        <v>13</v>
      </c>
      <c r="B578" s="1" t="s">
        <v>437</v>
      </c>
      <c r="C578" s="1" t="str">
        <f aca="false">IF(D578="PRE","N/A",
IF(D578="SUP","N/A",
IF(D578="Single-choice",H578,
IF(D578="Single-choice w/ correct",H578,
IF(D578="Series", LEFT(H578,FIND("_",H578)-1) &amp; "_" &amp; MID(H578,FIND("_",H578,FIND("_",H578)+1)+1,999)
)))))</f>
        <v>N/A</v>
      </c>
      <c r="D578" s="6" t="s">
        <v>438</v>
      </c>
      <c r="E578" s="7" t="str">
        <f aca="false">IF(D578="PRE","N/A", 
IF(D578="SUP",I578, 
IF(D578="Single-choice",I578, 
IF(D578="Single-choice w/ correct",I578, 
IF(D578="Series", LEFT(I578, FIND("    ",I578)
))))))</f>
        <v>Years lived in the United States (excluding Puerto Rico or other U.S. territories) - 4 category</v>
      </c>
      <c r="F578" s="8" t="str">
        <f aca="false">IF(D578="PRE",I578,
IF(D578="SUP",I578,
IF(D578="Single-choice","N/A",
IF(D578="Single-choice w/ correct","N/A",
IF(D578="Series", RIGHT(I578, LEN(I578) - FIND("    ",I578)-3
))))))</f>
        <v>Years lived in the United States (excluding Puerto Rico or other U.S. territories) - 4 category</v>
      </c>
      <c r="G578" s="6" t="s">
        <v>16</v>
      </c>
      <c r="H578" s="10" t="s">
        <v>501</v>
      </c>
      <c r="I578" s="9" t="s">
        <v>502</v>
      </c>
      <c r="J578" s="10" t="n">
        <v>2</v>
      </c>
      <c r="K578" s="10" t="s">
        <v>504</v>
      </c>
    </row>
    <row r="579" customFormat="false" ht="23.3" hidden="false" customHeight="false" outlineLevel="0" collapsed="false">
      <c r="A579" s="1" t="s">
        <v>13</v>
      </c>
      <c r="B579" s="1" t="s">
        <v>437</v>
      </c>
      <c r="C579" s="1" t="str">
        <f aca="false">IF(D579="PRE","N/A",
IF(D579="SUP","N/A",
IF(D579="Single-choice",H579,
IF(D579="Single-choice w/ correct",H579,
IF(D579="Series", LEFT(H579,FIND("_",H579)-1) &amp; "_" &amp; MID(H579,FIND("_",H579,FIND("_",H579)+1)+1,999)
)))))</f>
        <v>N/A</v>
      </c>
      <c r="D579" s="6" t="s">
        <v>438</v>
      </c>
      <c r="E579" s="7" t="str">
        <f aca="false">IF(D579="PRE","N/A", 
IF(D579="SUP",I579, 
IF(D579="Single-choice",I579, 
IF(D579="Single-choice w/ correct",I579, 
IF(D579="Series", LEFT(I579, FIND("    ",I579)
))))))</f>
        <v>Years lived in the United States (excluding Puerto Rico or other U.S. territories) - 4 category</v>
      </c>
      <c r="F579" s="8" t="str">
        <f aca="false">IF(D579="PRE",I579,
IF(D579="SUP",I579,
IF(D579="Single-choice","N/A",
IF(D579="Single-choice w/ correct","N/A",
IF(D579="Series", RIGHT(I579, LEN(I579) - FIND("    ",I579)-3
))))))</f>
        <v>Years lived in the United States (excluding Puerto Rico or other U.S. territories) - 4 category</v>
      </c>
      <c r="G579" s="6" t="s">
        <v>16</v>
      </c>
      <c r="H579" s="10" t="s">
        <v>501</v>
      </c>
      <c r="I579" s="9" t="s">
        <v>502</v>
      </c>
      <c r="J579" s="10" t="n">
        <v>3</v>
      </c>
      <c r="K579" s="10" t="s">
        <v>505</v>
      </c>
    </row>
    <row r="580" customFormat="false" ht="23.3" hidden="false" customHeight="false" outlineLevel="0" collapsed="false">
      <c r="A580" s="1" t="s">
        <v>13</v>
      </c>
      <c r="B580" s="1" t="s">
        <v>437</v>
      </c>
      <c r="C580" s="1" t="str">
        <f aca="false">IF(D580="PRE","N/A",
IF(D580="SUP","N/A",
IF(D580="Single-choice",H580,
IF(D580="Single-choice w/ correct",H580,
IF(D580="Series", LEFT(H580,FIND("_",H580)-1) &amp; "_" &amp; MID(H580,FIND("_",H580,FIND("_",H580)+1)+1,999)
)))))</f>
        <v>N/A</v>
      </c>
      <c r="D580" s="6" t="s">
        <v>438</v>
      </c>
      <c r="E580" s="7" t="str">
        <f aca="false">IF(D580="PRE","N/A", 
IF(D580="SUP",I580, 
IF(D580="Single-choice",I580, 
IF(D580="Single-choice w/ correct",I580, 
IF(D580="Series", LEFT(I580, FIND("    ",I580)
))))))</f>
        <v>Years lived in the United States (excluding Puerto Rico or other U.S. territories) - 4 category</v>
      </c>
      <c r="F580" s="8" t="str">
        <f aca="false">IF(D580="PRE",I580,
IF(D580="SUP",I580,
IF(D580="Single-choice","N/A",
IF(D580="Single-choice w/ correct","N/A",
IF(D580="Series", RIGHT(I580, LEN(I580) - FIND("    ",I580)-3
))))))</f>
        <v>Years lived in the United States (excluding Puerto Rico or other U.S. territories) - 4 category</v>
      </c>
      <c r="G580" s="6" t="s">
        <v>16</v>
      </c>
      <c r="H580" s="10" t="s">
        <v>501</v>
      </c>
      <c r="I580" s="9" t="s">
        <v>502</v>
      </c>
      <c r="J580" s="10" t="n">
        <v>4</v>
      </c>
      <c r="K580" s="10" t="s">
        <v>506</v>
      </c>
    </row>
    <row r="581" customFormat="false" ht="23.3" hidden="false" customHeight="false" outlineLevel="0" collapsed="false">
      <c r="A581" s="1" t="s">
        <v>13</v>
      </c>
      <c r="B581" s="1" t="s">
        <v>437</v>
      </c>
      <c r="C581" s="1" t="str">
        <f aca="false">IF(D581="PRE","N/A",
IF(D581="SUP","N/A",
IF(D581="Single-choice",H581,
IF(D581="Single-choice w/ correct",H581,
IF(D581="Series", LEFT(H581,FIND("_",H581)-1) &amp; "_" &amp; MID(H581,FIND("_",H581,FIND("_",H581)+1)+1,999)
)))))</f>
        <v>N/A</v>
      </c>
      <c r="D581" s="6" t="s">
        <v>438</v>
      </c>
      <c r="E581" s="7" t="str">
        <f aca="false">IF(D581="PRE","N/A", 
IF(D581="SUP",I581, 
IF(D581="Single-choice",I581, 
IF(D581="Single-choice w/ correct",I581, 
IF(D581="Series", LEFT(I581, FIND("    ",I581)
))))))</f>
        <v>Years lived in the United States (excluding Puerto Rico or other U.S. territories) - 4 category</v>
      </c>
      <c r="F581" s="8" t="str">
        <f aca="false">IF(D581="PRE",I581,
IF(D581="SUP",I581,
IF(D581="Single-choice","N/A",
IF(D581="Single-choice w/ correct","N/A",
IF(D581="Series", RIGHT(I581, LEN(I581) - FIND("    ",I581)-3
))))))</f>
        <v>Years lived in the United States (excluding Puerto Rico or other U.S. territories) - 4 category</v>
      </c>
      <c r="G581" s="6" t="s">
        <v>16</v>
      </c>
      <c r="H581" s="10" t="s">
        <v>501</v>
      </c>
      <c r="I581" s="9" t="s">
        <v>502</v>
      </c>
      <c r="J581" s="10" t="n">
        <v>99</v>
      </c>
      <c r="K581" s="10" t="s">
        <v>507</v>
      </c>
    </row>
    <row r="582" customFormat="false" ht="15" hidden="false" customHeight="true" outlineLevel="0" collapsed="false">
      <c r="A582" s="1" t="s">
        <v>13</v>
      </c>
      <c r="B582" s="1" t="s">
        <v>437</v>
      </c>
      <c r="C582" s="1" t="str">
        <f aca="false">IF(D582="PRE","N/A",
IF(D582="SUP","N/A",
IF(D582="Single-choice",H582,
IF(D582="Single-choice w/ correct",H582,
IF(D582="Series", LEFT(H582,FIND("_",H582)-1) &amp; "_" &amp; MID(H582,FIND("_",H582,FIND("_",H582)+1)+1,999)
)))))</f>
        <v>N/A</v>
      </c>
      <c r="D582" s="6" t="s">
        <v>438</v>
      </c>
      <c r="E582" s="7" t="str">
        <f aca="false">IF(D582="PRE","N/A", 
IF(D582="SUP",I582, 
IF(D582="Single-choice",I582, 
IF(D582="Single-choice w/ correct",I582, 
IF(D582="Series", LEFT(I582, FIND("    ",I582)
))))))</f>
        <v>Combining Race</v>
      </c>
      <c r="F582" s="8" t="str">
        <f aca="false">IF(D582="PRE",I582,
IF(D582="SUP",I582,
IF(D582="Single-choice","N/A",
IF(D582="Single-choice w/ correct","N/A",
IF(D582="Series", RIGHT(I582, LEN(I582) - FIND("    ",I582)-3
))))))</f>
        <v>Combining Race</v>
      </c>
      <c r="G582" s="6" t="s">
        <v>16</v>
      </c>
      <c r="H582" s="6" t="s">
        <v>508</v>
      </c>
      <c r="I582" s="9" t="s">
        <v>509</v>
      </c>
      <c r="J582" s="6" t="n">
        <v>1</v>
      </c>
      <c r="K582" s="6" t="s">
        <v>510</v>
      </c>
    </row>
    <row r="583" customFormat="false" ht="15" hidden="false" customHeight="false" outlineLevel="0" collapsed="false">
      <c r="A583" s="1" t="s">
        <v>13</v>
      </c>
      <c r="B583" s="1" t="s">
        <v>437</v>
      </c>
      <c r="C583" s="1" t="str">
        <f aca="false">IF(D583="PRE","N/A",
IF(D583="SUP","N/A",
IF(D583="Single-choice",H583,
IF(D583="Single-choice w/ correct",H583,
IF(D583="Series", LEFT(H583,FIND("_",H583)-1) &amp; "_" &amp; MID(H583,FIND("_",H583,FIND("_",H583)+1)+1,999)
)))))</f>
        <v>N/A</v>
      </c>
      <c r="D583" s="6" t="s">
        <v>438</v>
      </c>
      <c r="E583" s="7" t="str">
        <f aca="false">IF(D583="PRE","N/A", 
IF(D583="SUP",I583, 
IF(D583="Single-choice",I583, 
IF(D583="Single-choice w/ correct",I583, 
IF(D583="Series", LEFT(I583, FIND("    ",I583)
))))))</f>
        <v>Combining Race</v>
      </c>
      <c r="F583" s="8" t="str">
        <f aca="false">IF(D583="PRE",I583,
IF(D583="SUP",I583,
IF(D583="Single-choice","N/A",
IF(D583="Single-choice w/ correct","N/A",
IF(D583="Series", RIGHT(I583, LEN(I583) - FIND("    ",I583)-3
))))))</f>
        <v>Combining Race</v>
      </c>
      <c r="G583" s="6" t="s">
        <v>16</v>
      </c>
      <c r="H583" s="10" t="s">
        <v>508</v>
      </c>
      <c r="I583" s="9" t="s">
        <v>509</v>
      </c>
      <c r="J583" s="10" t="n">
        <v>2</v>
      </c>
      <c r="K583" s="10" t="s">
        <v>511</v>
      </c>
    </row>
    <row r="584" customFormat="false" ht="15" hidden="false" customHeight="false" outlineLevel="0" collapsed="false">
      <c r="A584" s="1" t="s">
        <v>13</v>
      </c>
      <c r="B584" s="1" t="s">
        <v>437</v>
      </c>
      <c r="C584" s="1" t="str">
        <f aca="false">IF(D584="PRE","N/A",
IF(D584="SUP","N/A",
IF(D584="Single-choice",H584,
IF(D584="Single-choice w/ correct",H584,
IF(D584="Series", LEFT(H584,FIND("_",H584)-1) &amp; "_" &amp; MID(H584,FIND("_",H584,FIND("_",H584)+1)+1,999)
)))))</f>
        <v>N/A</v>
      </c>
      <c r="D584" s="6" t="s">
        <v>438</v>
      </c>
      <c r="E584" s="7" t="str">
        <f aca="false">IF(D584="PRE","N/A", 
IF(D584="SUP",I584, 
IF(D584="Single-choice",I584, 
IF(D584="Single-choice w/ correct",I584, 
IF(D584="Series", LEFT(I584, FIND("    ",I584)
))))))</f>
        <v>Combining Race</v>
      </c>
      <c r="F584" s="8" t="str">
        <f aca="false">IF(D584="PRE",I584,
IF(D584="SUP",I584,
IF(D584="Single-choice","N/A",
IF(D584="Single-choice w/ correct","N/A",
IF(D584="Series", RIGHT(I584, LEN(I584) - FIND("    ",I584)-3
))))))</f>
        <v>Combining Race</v>
      </c>
      <c r="G584" s="6" t="s">
        <v>16</v>
      </c>
      <c r="H584" s="10" t="s">
        <v>508</v>
      </c>
      <c r="I584" s="9" t="s">
        <v>509</v>
      </c>
      <c r="J584" s="10" t="n">
        <v>3</v>
      </c>
      <c r="K584" s="10" t="s">
        <v>512</v>
      </c>
    </row>
    <row r="585" customFormat="false" ht="15" hidden="false" customHeight="false" outlineLevel="0" collapsed="false">
      <c r="A585" s="1" t="s">
        <v>13</v>
      </c>
      <c r="B585" s="1" t="s">
        <v>437</v>
      </c>
      <c r="C585" s="1" t="str">
        <f aca="false">IF(D585="PRE","N/A",
IF(D585="SUP","N/A",
IF(D585="Single-choice",H585,
IF(D585="Single-choice w/ correct",H585,
IF(D585="Series", LEFT(H585,FIND("_",H585)-1) &amp; "_" &amp; MID(H585,FIND("_",H585,FIND("_",H585)+1)+1,999)
)))))</f>
        <v>N/A</v>
      </c>
      <c r="D585" s="6" t="s">
        <v>438</v>
      </c>
      <c r="E585" s="7" t="str">
        <f aca="false">IF(D585="PRE","N/A", 
IF(D585="SUP",I585, 
IF(D585="Single-choice",I585, 
IF(D585="Single-choice w/ correct",I585, 
IF(D585="Series", LEFT(I585, FIND("    ",I585)
))))))</f>
        <v>Combining Race</v>
      </c>
      <c r="F585" s="8" t="str">
        <f aca="false">IF(D585="PRE",I585,
IF(D585="SUP",I585,
IF(D585="Single-choice","N/A",
IF(D585="Single-choice w/ correct","N/A",
IF(D585="Series", RIGHT(I585, LEN(I585) - FIND("    ",I585)-3
))))))</f>
        <v>Combining Race</v>
      </c>
      <c r="G585" s="6" t="s">
        <v>16</v>
      </c>
      <c r="H585" s="10" t="s">
        <v>508</v>
      </c>
      <c r="I585" s="9" t="s">
        <v>509</v>
      </c>
      <c r="J585" s="10" t="n">
        <v>4</v>
      </c>
      <c r="K585" s="10" t="s">
        <v>513</v>
      </c>
    </row>
    <row r="586" customFormat="false" ht="15" hidden="false" customHeight="false" outlineLevel="0" collapsed="false">
      <c r="A586" s="1" t="s">
        <v>13</v>
      </c>
      <c r="B586" s="1" t="s">
        <v>437</v>
      </c>
      <c r="C586" s="1" t="str">
        <f aca="false">IF(D586="PRE","N/A",
IF(D586="SUP","N/A",
IF(D586="Single-choice",H586,
IF(D586="Single-choice w/ correct",H586,
IF(D586="Series", LEFT(H586,FIND("_",H586)-1) &amp; "_" &amp; MID(H586,FIND("_",H586,FIND("_",H586)+1)+1,999)
)))))</f>
        <v>N/A</v>
      </c>
      <c r="D586" s="6" t="s">
        <v>438</v>
      </c>
      <c r="E586" s="7" t="str">
        <f aca="false">IF(D586="PRE","N/A", 
IF(D586="SUP",I586, 
IF(D586="Single-choice",I586, 
IF(D586="Single-choice w/ correct",I586, 
IF(D586="Series", LEFT(I586, FIND("    ",I586)
))))))</f>
        <v>Combining Race</v>
      </c>
      <c r="F586" s="8" t="str">
        <f aca="false">IF(D586="PRE",I586,
IF(D586="SUP",I586,
IF(D586="Single-choice","N/A",
IF(D586="Single-choice w/ correct","N/A",
IF(D586="Series", RIGHT(I586, LEN(I586) - FIND("    ",I586)-3
))))))</f>
        <v>Combining Race</v>
      </c>
      <c r="G586" s="6" t="s">
        <v>16</v>
      </c>
      <c r="H586" s="10" t="s">
        <v>508</v>
      </c>
      <c r="I586" s="9" t="s">
        <v>509</v>
      </c>
      <c r="J586" s="10" t="n">
        <v>5</v>
      </c>
      <c r="K586" s="10" t="s">
        <v>514</v>
      </c>
    </row>
    <row r="587" customFormat="false" ht="15" hidden="false" customHeight="false" outlineLevel="0" collapsed="false">
      <c r="A587" s="1" t="s">
        <v>13</v>
      </c>
      <c r="B587" s="1" t="s">
        <v>437</v>
      </c>
      <c r="C587" s="1" t="str">
        <f aca="false">IF(D587="PRE","N/A",
IF(D587="SUP","N/A",
IF(D587="Single-choice",H587,
IF(D587="Single-choice w/ correct",H587,
IF(D587="Series", LEFT(H587,FIND("_",H587)-1) &amp; "_" &amp; MID(H587,FIND("_",H587,FIND("_",H587)+1)+1,999)
)))))</f>
        <v>N/A</v>
      </c>
      <c r="D587" s="6" t="s">
        <v>438</v>
      </c>
      <c r="E587" s="7" t="str">
        <f aca="false">IF(D587="PRE","N/A", 
IF(D587="SUP",I587, 
IF(D587="Single-choice",I587, 
IF(D587="Single-choice w/ correct",I587, 
IF(D587="Series", LEFT(I587, FIND("    ",I587)
))))))</f>
        <v>Combining Race</v>
      </c>
      <c r="F587" s="8" t="str">
        <f aca="false">IF(D587="PRE",I587,
IF(D587="SUP",I587,
IF(D587="Single-choice","N/A",
IF(D587="Single-choice w/ correct","N/A",
IF(D587="Series", RIGHT(I587, LEN(I587) - FIND("    ",I587)-3
))))))</f>
        <v>Combining Race</v>
      </c>
      <c r="G587" s="6" t="s">
        <v>16</v>
      </c>
      <c r="H587" s="10" t="s">
        <v>508</v>
      </c>
      <c r="I587" s="9" t="s">
        <v>509</v>
      </c>
      <c r="J587" s="10" t="n">
        <v>99</v>
      </c>
      <c r="K587" s="10" t="s">
        <v>64</v>
      </c>
    </row>
    <row r="588" customFormat="false" ht="15" hidden="false" customHeight="true" outlineLevel="0" collapsed="false">
      <c r="A588" s="1" t="s">
        <v>13</v>
      </c>
      <c r="B588" s="1" t="s">
        <v>437</v>
      </c>
      <c r="C588" s="1" t="str">
        <f aca="false">IF(D588="PRE","N/A",
IF(D588="SUP","N/A",
IF(D588="Single-choice",H588,
IF(D588="Single-choice w/ correct",H588,
IF(D588="Series", LEFT(H588,FIND("_",H588)-1) &amp; "_" &amp; MID(H588,FIND("_",H588,FIND("_",H588)+1)+1,999)
)))))</f>
        <v>N/A</v>
      </c>
      <c r="D588" s="6" t="s">
        <v>438</v>
      </c>
      <c r="E588" s="7" t="str">
        <f aca="false">IF(D588="PRE","N/A", 
IF(D588="SUP",I588, 
IF(D588="Single-choice",I588, 
IF(D588="Single-choice w/ correct",I588, 
IF(D588="Series", LEFT(I588, FIND("    ",I588)
))))))</f>
        <v>Race-Ethnicity</v>
      </c>
      <c r="F588" s="8" t="str">
        <f aca="false">IF(D588="PRE",I588,
IF(D588="SUP",I588,
IF(D588="Single-choice","N/A",
IF(D588="Single-choice w/ correct","N/A",
IF(D588="Series", RIGHT(I588, LEN(I588) - FIND("    ",I588)-3
))))))</f>
        <v>Race-Ethnicity</v>
      </c>
      <c r="G588" s="6" t="s">
        <v>16</v>
      </c>
      <c r="H588" s="6" t="s">
        <v>515</v>
      </c>
      <c r="I588" s="9" t="s">
        <v>516</v>
      </c>
      <c r="J588" s="6" t="n">
        <v>1</v>
      </c>
      <c r="K588" s="6" t="s">
        <v>517</v>
      </c>
    </row>
    <row r="589" customFormat="false" ht="15" hidden="false" customHeight="false" outlineLevel="0" collapsed="false">
      <c r="A589" s="1" t="s">
        <v>13</v>
      </c>
      <c r="B589" s="1" t="s">
        <v>437</v>
      </c>
      <c r="C589" s="1" t="str">
        <f aca="false">IF(D589="PRE","N/A",
IF(D589="SUP","N/A",
IF(D589="Single-choice",H589,
IF(D589="Single-choice w/ correct",H589,
IF(D589="Series", LEFT(H589,FIND("_",H589)-1) &amp; "_" &amp; MID(H589,FIND("_",H589,FIND("_",H589)+1)+1,999)
)))))</f>
        <v>N/A</v>
      </c>
      <c r="D589" s="6" t="s">
        <v>438</v>
      </c>
      <c r="E589" s="7" t="str">
        <f aca="false">IF(D589="PRE","N/A", 
IF(D589="SUP",I589, 
IF(D589="Single-choice",I589, 
IF(D589="Single-choice w/ correct",I589, 
IF(D589="Series", LEFT(I589, FIND("    ",I589)
))))))</f>
        <v>Race-Ethnicity</v>
      </c>
      <c r="F589" s="8" t="str">
        <f aca="false">IF(D589="PRE",I589,
IF(D589="SUP",I589,
IF(D589="Single-choice","N/A",
IF(D589="Single-choice w/ correct","N/A",
IF(D589="Series", RIGHT(I589, LEN(I589) - FIND("    ",I589)-3
))))))</f>
        <v>Race-Ethnicity</v>
      </c>
      <c r="G589" s="6" t="s">
        <v>16</v>
      </c>
      <c r="H589" s="10" t="s">
        <v>515</v>
      </c>
      <c r="I589" s="9" t="s">
        <v>516</v>
      </c>
      <c r="J589" s="10" t="n">
        <v>2</v>
      </c>
      <c r="K589" s="10" t="s">
        <v>518</v>
      </c>
    </row>
    <row r="590" customFormat="false" ht="15" hidden="false" customHeight="false" outlineLevel="0" collapsed="false">
      <c r="A590" s="1" t="s">
        <v>13</v>
      </c>
      <c r="B590" s="1" t="s">
        <v>437</v>
      </c>
      <c r="C590" s="1" t="str">
        <f aca="false">IF(D590="PRE","N/A",
IF(D590="SUP","N/A",
IF(D590="Single-choice",H590,
IF(D590="Single-choice w/ correct",H590,
IF(D590="Series", LEFT(H590,FIND("_",H590)-1) &amp; "_" &amp; MID(H590,FIND("_",H590,FIND("_",H590)+1)+1,999)
)))))</f>
        <v>N/A</v>
      </c>
      <c r="D590" s="6" t="s">
        <v>438</v>
      </c>
      <c r="E590" s="7" t="str">
        <f aca="false">IF(D590="PRE","N/A", 
IF(D590="SUP",I590, 
IF(D590="Single-choice",I590, 
IF(D590="Single-choice w/ correct",I590, 
IF(D590="Series", LEFT(I590, FIND("    ",I590)
))))))</f>
        <v>Race-Ethnicity</v>
      </c>
      <c r="F590" s="8" t="str">
        <f aca="false">IF(D590="PRE",I590,
IF(D590="SUP",I590,
IF(D590="Single-choice","N/A",
IF(D590="Single-choice w/ correct","N/A",
IF(D590="Series", RIGHT(I590, LEN(I590) - FIND("    ",I590)-3
))))))</f>
        <v>Race-Ethnicity</v>
      </c>
      <c r="G590" s="6" t="s">
        <v>16</v>
      </c>
      <c r="H590" s="10" t="s">
        <v>515</v>
      </c>
      <c r="I590" s="9" t="s">
        <v>516</v>
      </c>
      <c r="J590" s="10" t="n">
        <v>3</v>
      </c>
      <c r="K590" s="10" t="s">
        <v>519</v>
      </c>
    </row>
    <row r="591" customFormat="false" ht="15" hidden="false" customHeight="false" outlineLevel="0" collapsed="false">
      <c r="A591" s="1" t="s">
        <v>13</v>
      </c>
      <c r="B591" s="1" t="s">
        <v>437</v>
      </c>
      <c r="C591" s="1" t="str">
        <f aca="false">IF(D591="PRE","N/A",
IF(D591="SUP","N/A",
IF(D591="Single-choice",H591,
IF(D591="Single-choice w/ correct",H591,
IF(D591="Series", LEFT(H591,FIND("_",H591)-1) &amp; "_" &amp; MID(H591,FIND("_",H591,FIND("_",H591)+1)+1,999)
)))))</f>
        <v>N/A</v>
      </c>
      <c r="D591" s="6" t="s">
        <v>438</v>
      </c>
      <c r="E591" s="7" t="str">
        <f aca="false">IF(D591="PRE","N/A", 
IF(D591="SUP",I591, 
IF(D591="Single-choice",I591, 
IF(D591="Single-choice w/ correct",I591, 
IF(D591="Series", LEFT(I591, FIND("    ",I591)
))))))</f>
        <v>Race-Ethnicity</v>
      </c>
      <c r="F591" s="8" t="str">
        <f aca="false">IF(D591="PRE",I591,
IF(D591="SUP",I591,
IF(D591="Single-choice","N/A",
IF(D591="Single-choice w/ correct","N/A",
IF(D591="Series", RIGHT(I591, LEN(I591) - FIND("    ",I591)-3
))))))</f>
        <v>Race-Ethnicity</v>
      </c>
      <c r="G591" s="6" t="s">
        <v>16</v>
      </c>
      <c r="H591" s="10" t="s">
        <v>515</v>
      </c>
      <c r="I591" s="9" t="s">
        <v>516</v>
      </c>
      <c r="J591" s="10" t="n">
        <v>4</v>
      </c>
      <c r="K591" s="10" t="s">
        <v>520</v>
      </c>
    </row>
    <row r="592" customFormat="false" ht="15" hidden="false" customHeight="false" outlineLevel="0" collapsed="false">
      <c r="A592" s="1" t="s">
        <v>13</v>
      </c>
      <c r="B592" s="1" t="s">
        <v>437</v>
      </c>
      <c r="C592" s="1" t="str">
        <f aca="false">IF(D592="PRE","N/A",
IF(D592="SUP","N/A",
IF(D592="Single-choice",H592,
IF(D592="Single-choice w/ correct",H592,
IF(D592="Series", LEFT(H592,FIND("_",H592)-1) &amp; "_" &amp; MID(H592,FIND("_",H592,FIND("_",H592)+1)+1,999)
)))))</f>
        <v>N/A</v>
      </c>
      <c r="D592" s="6" t="s">
        <v>438</v>
      </c>
      <c r="E592" s="7" t="str">
        <f aca="false">IF(D592="PRE","N/A", 
IF(D592="SUP",I592, 
IF(D592="Single-choice",I592, 
IF(D592="Single-choice w/ correct",I592, 
IF(D592="Series", LEFT(I592, FIND("    ",I592)
))))))</f>
        <v>Race-Ethnicity</v>
      </c>
      <c r="F592" s="8" t="str">
        <f aca="false">IF(D592="PRE",I592,
IF(D592="SUP",I592,
IF(D592="Single-choice","N/A",
IF(D592="Single-choice w/ correct","N/A",
IF(D592="Series", RIGHT(I592, LEN(I592) - FIND("    ",I592)-3
))))))</f>
        <v>Race-Ethnicity</v>
      </c>
      <c r="G592" s="6" t="s">
        <v>16</v>
      </c>
      <c r="H592" s="10" t="s">
        <v>515</v>
      </c>
      <c r="I592" s="9" t="s">
        <v>516</v>
      </c>
      <c r="J592" s="10" t="n">
        <v>5</v>
      </c>
      <c r="K592" s="10" t="s">
        <v>521</v>
      </c>
    </row>
    <row r="593" customFormat="false" ht="15" hidden="false" customHeight="false" outlineLevel="0" collapsed="false">
      <c r="A593" s="1" t="s">
        <v>13</v>
      </c>
      <c r="B593" s="1" t="s">
        <v>437</v>
      </c>
      <c r="C593" s="1" t="str">
        <f aca="false">IF(D593="PRE","N/A",
IF(D593="SUP","N/A",
IF(D593="Single-choice",H593,
IF(D593="Single-choice w/ correct",H593,
IF(D593="Series", LEFT(H593,FIND("_",H593)-1) &amp; "_" &amp; MID(H593,FIND("_",H593,FIND("_",H593)+1)+1,999)
)))))</f>
        <v>N/A</v>
      </c>
      <c r="D593" s="6" t="s">
        <v>438</v>
      </c>
      <c r="E593" s="7" t="str">
        <f aca="false">IF(D593="PRE","N/A", 
IF(D593="SUP",I593, 
IF(D593="Single-choice",I593, 
IF(D593="Single-choice w/ correct",I593, 
IF(D593="Series", LEFT(I593, FIND("    ",I593)
))))))</f>
        <v>Race-Ethnicity</v>
      </c>
      <c r="F593" s="8" t="str">
        <f aca="false">IF(D593="PRE",I593,
IF(D593="SUP",I593,
IF(D593="Single-choice","N/A",
IF(D593="Single-choice w/ correct","N/A",
IF(D593="Series", RIGHT(I593, LEN(I593) - FIND("    ",I593)-3
))))))</f>
        <v>Race-Ethnicity</v>
      </c>
      <c r="G593" s="6" t="s">
        <v>16</v>
      </c>
      <c r="H593" s="10" t="s">
        <v>515</v>
      </c>
      <c r="I593" s="9" t="s">
        <v>516</v>
      </c>
      <c r="J593" s="10" t="n">
        <v>99</v>
      </c>
      <c r="K593" s="10" t="s">
        <v>64</v>
      </c>
    </row>
    <row r="594" customFormat="false" ht="15" hidden="false" customHeight="true" outlineLevel="0" collapsed="false">
      <c r="A594" s="1" t="s">
        <v>13</v>
      </c>
      <c r="B594" s="1" t="s">
        <v>437</v>
      </c>
      <c r="C594" s="1" t="str">
        <f aca="false">IF(D594="PRE","N/A",
IF(D594="SUP","N/A",
IF(D594="Single-choice",H594,
IF(D594="Single-choice w/ correct",H594,
IF(D594="Series", LEFT(H594,FIND("_",H594)-1) &amp; "_" &amp; MID(H594,FIND("_",H594,FIND("_",H594)+1)+1,999)
)))))</f>
        <v>N/A</v>
      </c>
      <c r="D594" s="6" t="s">
        <v>438</v>
      </c>
      <c r="E594" s="7" t="str">
        <f aca="false">IF(D594="PRE","N/A", 
IF(D594="SUP",I594, 
IF(D594="Single-choice",I594, 
IF(D594="Single-choice w/ correct",I594, 
IF(D594="Series", LEFT(I594, FIND("    ",I594)
))))))</f>
        <v>Citizenship</v>
      </c>
      <c r="F594" s="8" t="str">
        <f aca="false">IF(D594="PRE",I594,
IF(D594="SUP",I594,
IF(D594="Single-choice","N/A",
IF(D594="Single-choice w/ correct","N/A",
IF(D594="Series", RIGHT(I594, LEN(I594) - FIND("    ",I594)-3
))))))</f>
        <v>Citizenship</v>
      </c>
      <c r="G594" s="6" t="s">
        <v>16</v>
      </c>
      <c r="H594" s="6" t="s">
        <v>522</v>
      </c>
      <c r="I594" s="9" t="s">
        <v>523</v>
      </c>
      <c r="J594" s="6" t="n">
        <v>1</v>
      </c>
      <c r="K594" s="6" t="s">
        <v>269</v>
      </c>
    </row>
    <row r="595" customFormat="false" ht="15" hidden="false" customHeight="false" outlineLevel="0" collapsed="false">
      <c r="A595" s="1" t="s">
        <v>13</v>
      </c>
      <c r="B595" s="1" t="s">
        <v>437</v>
      </c>
      <c r="C595" s="1" t="str">
        <f aca="false">IF(D595="PRE","N/A",
IF(D595="SUP","N/A",
IF(D595="Single-choice",H595,
IF(D595="Single-choice w/ correct",H595,
IF(D595="Series", LEFT(H595,FIND("_",H595)-1) &amp; "_" &amp; MID(H595,FIND("_",H595,FIND("_",H595)+1)+1,999)
)))))</f>
        <v>N/A</v>
      </c>
      <c r="D595" s="6" t="s">
        <v>438</v>
      </c>
      <c r="E595" s="7" t="str">
        <f aca="false">IF(D595="PRE","N/A", 
IF(D595="SUP",I595, 
IF(D595="Single-choice",I595, 
IF(D595="Single-choice w/ correct",I595, 
IF(D595="Series", LEFT(I595, FIND("    ",I595)
))))))</f>
        <v>Citizenship</v>
      </c>
      <c r="F595" s="8" t="str">
        <f aca="false">IF(D595="PRE",I595,
IF(D595="SUP",I595,
IF(D595="Single-choice","N/A",
IF(D595="Single-choice w/ correct","N/A",
IF(D595="Series", RIGHT(I595, LEN(I595) - FIND("    ",I595)-3
))))))</f>
        <v>Citizenship</v>
      </c>
      <c r="G595" s="6" t="s">
        <v>16</v>
      </c>
      <c r="H595" s="10" t="s">
        <v>522</v>
      </c>
      <c r="I595" s="9" t="s">
        <v>523</v>
      </c>
      <c r="J595" s="10" t="n">
        <v>2</v>
      </c>
      <c r="K595" s="10" t="s">
        <v>270</v>
      </c>
    </row>
    <row r="596" customFormat="false" ht="15" hidden="false" customHeight="false" outlineLevel="0" collapsed="false">
      <c r="A596" s="1" t="s">
        <v>13</v>
      </c>
      <c r="B596" s="1" t="s">
        <v>437</v>
      </c>
      <c r="C596" s="1" t="str">
        <f aca="false">IF(D596="PRE","N/A",
IF(D596="SUP","N/A",
IF(D596="Single-choice",H596,
IF(D596="Single-choice w/ correct",H596,
IF(D596="Series", LEFT(H596,FIND("_",H596)-1) &amp; "_" &amp; MID(H596,FIND("_",H596,FIND("_",H596)+1)+1,999)
)))))</f>
        <v>N/A</v>
      </c>
      <c r="D596" s="6" t="s">
        <v>438</v>
      </c>
      <c r="E596" s="7" t="str">
        <f aca="false">IF(D596="PRE","N/A", 
IF(D596="SUP",I596, 
IF(D596="Single-choice",I596, 
IF(D596="Single-choice w/ correct",I596, 
IF(D596="Series", LEFT(I596, FIND("    ",I596)
))))))</f>
        <v>Citizenship</v>
      </c>
      <c r="F596" s="8" t="str">
        <f aca="false">IF(D596="PRE",I596,
IF(D596="SUP",I596,
IF(D596="Single-choice","N/A",
IF(D596="Single-choice w/ correct","N/A",
IF(D596="Series", RIGHT(I596, LEN(I596) - FIND("    ",I596)-3
))))))</f>
        <v>Citizenship</v>
      </c>
      <c r="G596" s="6" t="s">
        <v>16</v>
      </c>
      <c r="H596" s="10" t="s">
        <v>522</v>
      </c>
      <c r="I596" s="9" t="s">
        <v>523</v>
      </c>
      <c r="J596" s="10" t="n">
        <v>99</v>
      </c>
      <c r="K596" s="10" t="s">
        <v>64</v>
      </c>
    </row>
    <row r="597" customFormat="false" ht="15" hidden="false" customHeight="true" outlineLevel="0" collapsed="false">
      <c r="A597" s="1" t="s">
        <v>13</v>
      </c>
      <c r="B597" s="1" t="s">
        <v>437</v>
      </c>
      <c r="C597" s="1" t="str">
        <f aca="false">IF(D597="PRE","N/A",
IF(D597="SUP","N/A",
IF(D597="Single-choice",H597,
IF(D597="Single-choice w/ correct",H597,
IF(D597="Series", LEFT(H597,FIND("_",H597)-1) &amp; "_" &amp; MID(H597,FIND("_",H597,FIND("_",H597)+1)+1,999)
)))))</f>
        <v>N/A</v>
      </c>
      <c r="D597" s="6" t="s">
        <v>438</v>
      </c>
      <c r="E597" s="7" t="str">
        <f aca="false">IF(D597="PRE","N/A", 
IF(D597="SUP",I597, 
IF(D597="Single-choice",I597, 
IF(D597="Single-choice w/ correct",I597, 
IF(D597="Series", LEFT(I597, FIND("    ",I597)
))))))</f>
        <v>Birthplace</v>
      </c>
      <c r="F597" s="8" t="str">
        <f aca="false">IF(D597="PRE",I597,
IF(D597="SUP",I597,
IF(D597="Single-choice","N/A",
IF(D597="Single-choice w/ correct","N/A",
IF(D597="Series", RIGHT(I597, LEN(I597) - FIND("    ",I597)-3
))))))</f>
        <v>Birthplace</v>
      </c>
      <c r="G597" s="6" t="s">
        <v>16</v>
      </c>
      <c r="H597" s="6" t="s">
        <v>524</v>
      </c>
      <c r="I597" s="9" t="s">
        <v>525</v>
      </c>
      <c r="J597" s="6" t="n">
        <v>1</v>
      </c>
      <c r="K597" s="6" t="s">
        <v>526</v>
      </c>
    </row>
    <row r="598" customFormat="false" ht="15" hidden="false" customHeight="false" outlineLevel="0" collapsed="false">
      <c r="A598" s="1" t="s">
        <v>13</v>
      </c>
      <c r="B598" s="1" t="s">
        <v>437</v>
      </c>
      <c r="C598" s="1" t="str">
        <f aca="false">IF(D598="PRE","N/A",
IF(D598="SUP","N/A",
IF(D598="Single-choice",H598,
IF(D598="Single-choice w/ correct",H598,
IF(D598="Series", LEFT(H598,FIND("_",H598)-1) &amp; "_" &amp; MID(H598,FIND("_",H598,FIND("_",H598)+1)+1,999)
)))))</f>
        <v>N/A</v>
      </c>
      <c r="D598" s="6" t="s">
        <v>438</v>
      </c>
      <c r="E598" s="7" t="str">
        <f aca="false">IF(D598="PRE","N/A", 
IF(D598="SUP",I598, 
IF(D598="Single-choice",I598, 
IF(D598="Single-choice w/ correct",I598, 
IF(D598="Series", LEFT(I598, FIND("    ",I598)
))))))</f>
        <v>Birthplace</v>
      </c>
      <c r="F598" s="8" t="str">
        <f aca="false">IF(D598="PRE",I598,
IF(D598="SUP",I598,
IF(D598="Single-choice","N/A",
IF(D598="Single-choice w/ correct","N/A",
IF(D598="Series", RIGHT(I598, LEN(I598) - FIND("    ",I598)-3
))))))</f>
        <v>Birthplace</v>
      </c>
      <c r="G598" s="6" t="s">
        <v>16</v>
      </c>
      <c r="H598" s="10" t="s">
        <v>524</v>
      </c>
      <c r="I598" s="9" t="s">
        <v>525</v>
      </c>
      <c r="J598" s="10" t="n">
        <v>2</v>
      </c>
      <c r="K598" s="10" t="s">
        <v>527</v>
      </c>
    </row>
    <row r="599" customFormat="false" ht="15" hidden="false" customHeight="false" outlineLevel="0" collapsed="false">
      <c r="A599" s="1" t="s">
        <v>13</v>
      </c>
      <c r="B599" s="1" t="s">
        <v>437</v>
      </c>
      <c r="C599" s="1" t="str">
        <f aca="false">IF(D599="PRE","N/A",
IF(D599="SUP","N/A",
IF(D599="Single-choice",H599,
IF(D599="Single-choice w/ correct",H599,
IF(D599="Series", LEFT(H599,FIND("_",H599)-1) &amp; "_" &amp; MID(H599,FIND("_",H599,FIND("_",H599)+1)+1,999)
)))))</f>
        <v>N/A</v>
      </c>
      <c r="D599" s="6" t="s">
        <v>438</v>
      </c>
      <c r="E599" s="7" t="str">
        <f aca="false">IF(D599="PRE","N/A", 
IF(D599="SUP",I599, 
IF(D599="Single-choice",I599, 
IF(D599="Single-choice w/ correct",I599, 
IF(D599="Series", LEFT(I599, FIND("    ",I599)
))))))</f>
        <v>Birthplace</v>
      </c>
      <c r="F599" s="8" t="str">
        <f aca="false">IF(D599="PRE",I599,
IF(D599="SUP",I599,
IF(D599="Single-choice","N/A",
IF(D599="Single-choice w/ correct","N/A",
IF(D599="Series", RIGHT(I599, LEN(I599) - FIND("    ",I599)-3
))))))</f>
        <v>Birthplace</v>
      </c>
      <c r="G599" s="6" t="s">
        <v>16</v>
      </c>
      <c r="H599" s="10" t="s">
        <v>524</v>
      </c>
      <c r="I599" s="9" t="s">
        <v>525</v>
      </c>
      <c r="J599" s="10" t="n">
        <v>3</v>
      </c>
      <c r="K599" s="10" t="s">
        <v>528</v>
      </c>
    </row>
    <row r="600" customFormat="false" ht="15" hidden="false" customHeight="false" outlineLevel="0" collapsed="false">
      <c r="A600" s="1" t="s">
        <v>13</v>
      </c>
      <c r="B600" s="1" t="s">
        <v>437</v>
      </c>
      <c r="C600" s="1" t="str">
        <f aca="false">IF(D600="PRE","N/A",
IF(D600="SUP","N/A",
IF(D600="Single-choice",H600,
IF(D600="Single-choice w/ correct",H600,
IF(D600="Series", LEFT(H600,FIND("_",H600)-1) &amp; "_" &amp; MID(H600,FIND("_",H600,FIND("_",H600)+1)+1,999)
)))))</f>
        <v>N/A</v>
      </c>
      <c r="D600" s="6" t="s">
        <v>438</v>
      </c>
      <c r="E600" s="7" t="str">
        <f aca="false">IF(D600="PRE","N/A", 
IF(D600="SUP",I600, 
IF(D600="Single-choice",I600, 
IF(D600="Single-choice w/ correct",I600, 
IF(D600="Series", LEFT(I600, FIND("    ",I600)
))))))</f>
        <v>Birthplace</v>
      </c>
      <c r="F600" s="8" t="str">
        <f aca="false">IF(D600="PRE",I600,
IF(D600="SUP",I600,
IF(D600="Single-choice","N/A",
IF(D600="Single-choice w/ correct","N/A",
IF(D600="Series", RIGHT(I600, LEN(I600) - FIND("    ",I600)-3
))))))</f>
        <v>Birthplace</v>
      </c>
      <c r="G600" s="6" t="s">
        <v>16</v>
      </c>
      <c r="H600" s="10" t="s">
        <v>524</v>
      </c>
      <c r="I600" s="9" t="s">
        <v>525</v>
      </c>
      <c r="J600" s="10" t="n">
        <v>4</v>
      </c>
      <c r="K600" s="10" t="s">
        <v>529</v>
      </c>
    </row>
    <row r="601" customFormat="false" ht="15" hidden="false" customHeight="false" outlineLevel="0" collapsed="false">
      <c r="A601" s="1" t="s">
        <v>13</v>
      </c>
      <c r="B601" s="1" t="s">
        <v>437</v>
      </c>
      <c r="C601" s="1" t="str">
        <f aca="false">IF(D601="PRE","N/A",
IF(D601="SUP","N/A",
IF(D601="Single-choice",H601,
IF(D601="Single-choice w/ correct",H601,
IF(D601="Series", LEFT(H601,FIND("_",H601)-1) &amp; "_" &amp; MID(H601,FIND("_",H601,FIND("_",H601)+1)+1,999)
)))))</f>
        <v>N/A</v>
      </c>
      <c r="D601" s="6" t="s">
        <v>438</v>
      </c>
      <c r="E601" s="7" t="str">
        <f aca="false">IF(D601="PRE","N/A", 
IF(D601="SUP",I601, 
IF(D601="Single-choice",I601, 
IF(D601="Single-choice w/ correct",I601, 
IF(D601="Series", LEFT(I601, FIND("    ",I601)
))))))</f>
        <v>Birthplace</v>
      </c>
      <c r="F601" s="8" t="str">
        <f aca="false">IF(D601="PRE",I601,
IF(D601="SUP",I601,
IF(D601="Single-choice","N/A",
IF(D601="Single-choice w/ correct","N/A",
IF(D601="Series", RIGHT(I601, LEN(I601) - FIND("    ",I601)-3
))))))</f>
        <v>Birthplace</v>
      </c>
      <c r="G601" s="6" t="s">
        <v>16</v>
      </c>
      <c r="H601" s="10" t="s">
        <v>524</v>
      </c>
      <c r="I601" s="9" t="s">
        <v>525</v>
      </c>
      <c r="J601" s="10" t="n">
        <v>99</v>
      </c>
      <c r="K601" s="10" t="s">
        <v>64</v>
      </c>
    </row>
    <row r="602" customFormat="false" ht="15" hidden="false" customHeight="true" outlineLevel="0" collapsed="false">
      <c r="A602" s="1" t="s">
        <v>13</v>
      </c>
      <c r="B602" s="1" t="s">
        <v>437</v>
      </c>
      <c r="C602" s="1" t="str">
        <f aca="false">IF(D602="PRE","N/A",
IF(D602="SUP","N/A",
IF(D602="Single-choice",H602,
IF(D602="Single-choice w/ correct",H602,
IF(D602="Series", LEFT(H602,FIND("_",H602)-1) &amp; "_" &amp; MID(H602,FIND("_",H602,FIND("_",H602)+1)+1,999)
)))))</f>
        <v>N/A</v>
      </c>
      <c r="D602" s="6" t="s">
        <v>438</v>
      </c>
      <c r="E602" s="7" t="str">
        <f aca="false">IF(D602="PRE","N/A", 
IF(D602="SUP",I602, 
IF(D602="Single-choice",I602, 
IF(D602="Single-choice w/ correct",I602, 
IF(D602="Series", LEFT(I602, FIND("    ",I602)
))))))</f>
        <v>Marital status</v>
      </c>
      <c r="F602" s="8" t="str">
        <f aca="false">IF(D602="PRE",I602,
IF(D602="SUP",I602,
IF(D602="Single-choice","N/A",
IF(D602="Single-choice w/ correct","N/A",
IF(D602="Series", RIGHT(I602, LEN(I602) - FIND("    ",I602)-3
))))))</f>
        <v>Marital status</v>
      </c>
      <c r="G602" s="6" t="s">
        <v>16</v>
      </c>
      <c r="H602" s="6" t="s">
        <v>530</v>
      </c>
      <c r="I602" s="9" t="s">
        <v>531</v>
      </c>
      <c r="J602" s="6" t="n">
        <v>1</v>
      </c>
      <c r="K602" s="6" t="s">
        <v>532</v>
      </c>
    </row>
    <row r="603" customFormat="false" ht="15" hidden="false" customHeight="false" outlineLevel="0" collapsed="false">
      <c r="A603" s="1" t="s">
        <v>13</v>
      </c>
      <c r="B603" s="1" t="s">
        <v>437</v>
      </c>
      <c r="C603" s="1" t="str">
        <f aca="false">IF(D603="PRE","N/A",
IF(D603="SUP","N/A",
IF(D603="Single-choice",H603,
IF(D603="Single-choice w/ correct",H603,
IF(D603="Series", LEFT(H603,FIND("_",H603)-1) &amp; "_" &amp; MID(H603,FIND("_",H603,FIND("_",H603)+1)+1,999)
)))))</f>
        <v>N/A</v>
      </c>
      <c r="D603" s="6" t="s">
        <v>438</v>
      </c>
      <c r="E603" s="7" t="str">
        <f aca="false">IF(D603="PRE","N/A", 
IF(D603="SUP",I603, 
IF(D603="Single-choice",I603, 
IF(D603="Single-choice w/ correct",I603, 
IF(D603="Series", LEFT(I603, FIND("    ",I603)
))))))</f>
        <v>Marital status</v>
      </c>
      <c r="F603" s="8" t="str">
        <f aca="false">IF(D603="PRE",I603,
IF(D603="SUP",I603,
IF(D603="Single-choice","N/A",
IF(D603="Single-choice w/ correct","N/A",
IF(D603="Series", RIGHT(I603, LEN(I603) - FIND("    ",I603)-3
))))))</f>
        <v>Marital status</v>
      </c>
      <c r="G603" s="6" t="s">
        <v>16</v>
      </c>
      <c r="H603" s="10" t="s">
        <v>530</v>
      </c>
      <c r="I603" s="9" t="s">
        <v>531</v>
      </c>
      <c r="J603" s="10" t="n">
        <v>2</v>
      </c>
      <c r="K603" s="10" t="s">
        <v>533</v>
      </c>
    </row>
    <row r="604" customFormat="false" ht="15" hidden="false" customHeight="false" outlineLevel="0" collapsed="false">
      <c r="A604" s="1" t="s">
        <v>13</v>
      </c>
      <c r="B604" s="1" t="s">
        <v>437</v>
      </c>
      <c r="C604" s="1" t="str">
        <f aca="false">IF(D604="PRE","N/A",
IF(D604="SUP","N/A",
IF(D604="Single-choice",H604,
IF(D604="Single-choice w/ correct",H604,
IF(D604="Series", LEFT(H604,FIND("_",H604)-1) &amp; "_" &amp; MID(H604,FIND("_",H604,FIND("_",H604)+1)+1,999)
)))))</f>
        <v>N/A</v>
      </c>
      <c r="D604" s="6" t="s">
        <v>438</v>
      </c>
      <c r="E604" s="7" t="str">
        <f aca="false">IF(D604="PRE","N/A", 
IF(D604="SUP",I604, 
IF(D604="Single-choice",I604, 
IF(D604="Single-choice w/ correct",I604, 
IF(D604="Series", LEFT(I604, FIND("    ",I604)
))))))</f>
        <v>Marital status</v>
      </c>
      <c r="F604" s="8" t="str">
        <f aca="false">IF(D604="PRE",I604,
IF(D604="SUP",I604,
IF(D604="Single-choice","N/A",
IF(D604="Single-choice w/ correct","N/A",
IF(D604="Series", RIGHT(I604, LEN(I604) - FIND("    ",I604)-3
))))))</f>
        <v>Marital status</v>
      </c>
      <c r="G604" s="6" t="s">
        <v>16</v>
      </c>
      <c r="H604" s="10" t="s">
        <v>530</v>
      </c>
      <c r="I604" s="9" t="s">
        <v>531</v>
      </c>
      <c r="J604" s="10" t="n">
        <v>3</v>
      </c>
      <c r="K604" s="10" t="s">
        <v>534</v>
      </c>
    </row>
    <row r="605" customFormat="false" ht="15" hidden="false" customHeight="false" outlineLevel="0" collapsed="false">
      <c r="A605" s="1" t="s">
        <v>13</v>
      </c>
      <c r="B605" s="1" t="s">
        <v>437</v>
      </c>
      <c r="C605" s="1" t="str">
        <f aca="false">IF(D605="PRE","N/A",
IF(D605="SUP","N/A",
IF(D605="Single-choice",H605,
IF(D605="Single-choice w/ correct",H605,
IF(D605="Series", LEFT(H605,FIND("_",H605)-1) &amp; "_" &amp; MID(H605,FIND("_",H605,FIND("_",H605)+1)+1,999)
)))))</f>
        <v>N/A</v>
      </c>
      <c r="D605" s="6" t="s">
        <v>438</v>
      </c>
      <c r="E605" s="7" t="str">
        <f aca="false">IF(D605="PRE","N/A", 
IF(D605="SUP",I605, 
IF(D605="Single-choice",I605, 
IF(D605="Single-choice w/ correct",I605, 
IF(D605="Series", LEFT(I605, FIND("    ",I605)
))))))</f>
        <v>Marital status</v>
      </c>
      <c r="F605" s="8" t="str">
        <f aca="false">IF(D605="PRE",I605,
IF(D605="SUP",I605,
IF(D605="Single-choice","N/A",
IF(D605="Single-choice w/ correct","N/A",
IF(D605="Series", RIGHT(I605, LEN(I605) - FIND("    ",I605)-3
))))))</f>
        <v>Marital status</v>
      </c>
      <c r="G605" s="6" t="s">
        <v>16</v>
      </c>
      <c r="H605" s="10" t="s">
        <v>530</v>
      </c>
      <c r="I605" s="9" t="s">
        <v>531</v>
      </c>
      <c r="J605" s="10" t="n">
        <v>4</v>
      </c>
      <c r="K605" s="10" t="s">
        <v>535</v>
      </c>
    </row>
    <row r="606" customFormat="false" ht="15" hidden="false" customHeight="false" outlineLevel="0" collapsed="false">
      <c r="A606" s="1" t="s">
        <v>13</v>
      </c>
      <c r="B606" s="1" t="s">
        <v>437</v>
      </c>
      <c r="C606" s="1" t="str">
        <f aca="false">IF(D606="PRE","N/A",
IF(D606="SUP","N/A",
IF(D606="Single-choice",H606,
IF(D606="Single-choice w/ correct",H606,
IF(D606="Series", LEFT(H606,FIND("_",H606)-1) &amp; "_" &amp; MID(H606,FIND("_",H606,FIND("_",H606)+1)+1,999)
)))))</f>
        <v>N/A</v>
      </c>
      <c r="D606" s="6" t="s">
        <v>438</v>
      </c>
      <c r="E606" s="7" t="str">
        <f aca="false">IF(D606="PRE","N/A", 
IF(D606="SUP",I606, 
IF(D606="Single-choice",I606, 
IF(D606="Single-choice w/ correct",I606, 
IF(D606="Series", LEFT(I606, FIND("    ",I606)
))))))</f>
        <v>Marital status</v>
      </c>
      <c r="F606" s="8" t="str">
        <f aca="false">IF(D606="PRE",I606,
IF(D606="SUP",I606,
IF(D606="Single-choice","N/A",
IF(D606="Single-choice w/ correct","N/A",
IF(D606="Series", RIGHT(I606, LEN(I606) - FIND("    ",I606)-3
))))))</f>
        <v>Marital status</v>
      </c>
      <c r="G606" s="6" t="s">
        <v>16</v>
      </c>
      <c r="H606" s="10" t="s">
        <v>530</v>
      </c>
      <c r="I606" s="9" t="s">
        <v>531</v>
      </c>
      <c r="J606" s="10" t="n">
        <v>5</v>
      </c>
      <c r="K606" s="10" t="s">
        <v>536</v>
      </c>
    </row>
    <row r="607" customFormat="false" ht="15" hidden="false" customHeight="false" outlineLevel="0" collapsed="false">
      <c r="A607" s="1" t="s">
        <v>13</v>
      </c>
      <c r="B607" s="1" t="s">
        <v>437</v>
      </c>
      <c r="C607" s="1" t="str">
        <f aca="false">IF(D607="PRE","N/A",
IF(D607="SUP","N/A",
IF(D607="Single-choice",H607,
IF(D607="Single-choice w/ correct",H607,
IF(D607="Series", LEFT(H607,FIND("_",H607)-1) &amp; "_" &amp; MID(H607,FIND("_",H607,FIND("_",H607)+1)+1,999)
)))))</f>
        <v>N/A</v>
      </c>
      <c r="D607" s="6" t="s">
        <v>438</v>
      </c>
      <c r="E607" s="7" t="str">
        <f aca="false">IF(D607="PRE","N/A", 
IF(D607="SUP",I607, 
IF(D607="Single-choice",I607, 
IF(D607="Single-choice w/ correct",I607, 
IF(D607="Series", LEFT(I607, FIND("    ",I607)
))))))</f>
        <v>Marital status</v>
      </c>
      <c r="F607" s="8" t="str">
        <f aca="false">IF(D607="PRE",I607,
IF(D607="SUP",I607,
IF(D607="Single-choice","N/A",
IF(D607="Single-choice w/ correct","N/A",
IF(D607="Series", RIGHT(I607, LEN(I607) - FIND("    ",I607)-3
))))))</f>
        <v>Marital status</v>
      </c>
      <c r="G607" s="6" t="s">
        <v>16</v>
      </c>
      <c r="H607" s="10" t="s">
        <v>530</v>
      </c>
      <c r="I607" s="9" t="s">
        <v>531</v>
      </c>
      <c r="J607" s="10" t="n">
        <v>6</v>
      </c>
      <c r="K607" s="10" t="s">
        <v>537</v>
      </c>
    </row>
    <row r="608" customFormat="false" ht="15" hidden="false" customHeight="false" outlineLevel="0" collapsed="false">
      <c r="A608" s="1" t="s">
        <v>13</v>
      </c>
      <c r="B608" s="1" t="s">
        <v>437</v>
      </c>
      <c r="C608" s="1" t="str">
        <f aca="false">IF(D608="PRE","N/A",
IF(D608="SUP","N/A",
IF(D608="Single-choice",H608,
IF(D608="Single-choice w/ correct",H608,
IF(D608="Series", LEFT(H608,FIND("_",H608)-1) &amp; "_" &amp; MID(H608,FIND("_",H608,FIND("_",H608)+1)+1,999)
)))))</f>
        <v>N/A</v>
      </c>
      <c r="D608" s="6" t="s">
        <v>438</v>
      </c>
      <c r="E608" s="7" t="str">
        <f aca="false">IF(D608="PRE","N/A", 
IF(D608="SUP",I608, 
IF(D608="Single-choice",I608, 
IF(D608="Single-choice w/ correct",I608, 
IF(D608="Series", LEFT(I608, FIND("    ",I608)
))))))</f>
        <v>Marital status</v>
      </c>
      <c r="F608" s="8" t="str">
        <f aca="false">IF(D608="PRE",I608,
IF(D608="SUP",I608,
IF(D608="Single-choice","N/A",
IF(D608="Single-choice w/ correct","N/A",
IF(D608="Series", RIGHT(I608, LEN(I608) - FIND("    ",I608)-3
))))))</f>
        <v>Marital status</v>
      </c>
      <c r="G608" s="6" t="s">
        <v>16</v>
      </c>
      <c r="H608" s="10" t="s">
        <v>530</v>
      </c>
      <c r="I608" s="9" t="s">
        <v>531</v>
      </c>
      <c r="J608" s="10" t="n">
        <v>99</v>
      </c>
      <c r="K608" s="10" t="s">
        <v>64</v>
      </c>
    </row>
    <row r="609" customFormat="false" ht="15" hidden="false" customHeight="true" outlineLevel="0" collapsed="false">
      <c r="A609" s="1" t="s">
        <v>13</v>
      </c>
      <c r="B609" s="1" t="s">
        <v>437</v>
      </c>
      <c r="C609" s="1" t="str">
        <f aca="false">IF(D609="PRE","N/A",
IF(D609="SUP","N/A",
IF(D609="Single-choice",H609,
IF(D609="Single-choice w/ correct",H609,
IF(D609="Series", LEFT(H609,FIND("_",H609)-1) &amp; "_" &amp; MID(H609,FIND("_",H609,FIND("_",H609)+1)+1,999)
)))))</f>
        <v>N/A</v>
      </c>
      <c r="D609" s="6" t="s">
        <v>438</v>
      </c>
      <c r="E609" s="7" t="str">
        <f aca="false">IF(D609="PRE","N/A", 
IF(D609="SUP",I609, 
IF(D609="Single-choice",I609, 
IF(D609="Single-choice w/ correct",I609, 
IF(D609="Series", LEFT(I609, FIND("    ",I609)
))))))</f>
        <v>Religion</v>
      </c>
      <c r="F609" s="8" t="str">
        <f aca="false">IF(D609="PRE",I609,
IF(D609="SUP",I609,
IF(D609="Single-choice","N/A",
IF(D609="Single-choice w/ correct","N/A",
IF(D609="Series", RIGHT(I609, LEN(I609) - FIND("    ",I609)-3
))))))</f>
        <v>Religion</v>
      </c>
      <c r="G609" s="6" t="s">
        <v>16</v>
      </c>
      <c r="H609" s="6" t="s">
        <v>538</v>
      </c>
      <c r="I609" s="9" t="s">
        <v>539</v>
      </c>
      <c r="J609" s="6" t="n">
        <v>1</v>
      </c>
      <c r="K609" s="6" t="s">
        <v>540</v>
      </c>
    </row>
    <row r="610" customFormat="false" ht="15" hidden="false" customHeight="false" outlineLevel="0" collapsed="false">
      <c r="A610" s="1" t="s">
        <v>13</v>
      </c>
      <c r="B610" s="1" t="s">
        <v>437</v>
      </c>
      <c r="C610" s="1" t="str">
        <f aca="false">IF(D610="PRE","N/A",
IF(D610="SUP","N/A",
IF(D610="Single-choice",H610,
IF(D610="Single-choice w/ correct",H610,
IF(D610="Series", LEFT(H610,FIND("_",H610)-1) &amp; "_" &amp; MID(H610,FIND("_",H610,FIND("_",H610)+1)+1,999)
)))))</f>
        <v>N/A</v>
      </c>
      <c r="D610" s="6" t="s">
        <v>438</v>
      </c>
      <c r="E610" s="7" t="str">
        <f aca="false">IF(D610="PRE","N/A", 
IF(D610="SUP",I610, 
IF(D610="Single-choice",I610, 
IF(D610="Single-choice w/ correct",I610, 
IF(D610="Series", LEFT(I610, FIND("    ",I610)
))))))</f>
        <v>Religion</v>
      </c>
      <c r="F610" s="8" t="str">
        <f aca="false">IF(D610="PRE",I610,
IF(D610="SUP",I610,
IF(D610="Single-choice","N/A",
IF(D610="Single-choice w/ correct","N/A",
IF(D610="Series", RIGHT(I610, LEN(I610) - FIND("    ",I610)-3
))))))</f>
        <v>Religion</v>
      </c>
      <c r="G610" s="6" t="s">
        <v>16</v>
      </c>
      <c r="H610" s="10" t="s">
        <v>538</v>
      </c>
      <c r="I610" s="9" t="s">
        <v>539</v>
      </c>
      <c r="J610" s="10" t="n">
        <v>2</v>
      </c>
      <c r="K610" s="10" t="s">
        <v>541</v>
      </c>
    </row>
    <row r="611" customFormat="false" ht="15" hidden="false" customHeight="false" outlineLevel="0" collapsed="false">
      <c r="A611" s="1" t="s">
        <v>13</v>
      </c>
      <c r="B611" s="1" t="s">
        <v>437</v>
      </c>
      <c r="C611" s="1" t="str">
        <f aca="false">IF(D611="PRE","N/A",
IF(D611="SUP","N/A",
IF(D611="Single-choice",H611,
IF(D611="Single-choice w/ correct",H611,
IF(D611="Series", LEFT(H611,FIND("_",H611)-1) &amp; "_" &amp; MID(H611,FIND("_",H611,FIND("_",H611)+1)+1,999)
)))))</f>
        <v>N/A</v>
      </c>
      <c r="D611" s="6" t="s">
        <v>438</v>
      </c>
      <c r="E611" s="7" t="str">
        <f aca="false">IF(D611="PRE","N/A", 
IF(D611="SUP",I611, 
IF(D611="Single-choice",I611, 
IF(D611="Single-choice w/ correct",I611, 
IF(D611="Series", LEFT(I611, FIND("    ",I611)
))))))</f>
        <v>Religion</v>
      </c>
      <c r="F611" s="8" t="str">
        <f aca="false">IF(D611="PRE",I611,
IF(D611="SUP",I611,
IF(D611="Single-choice","N/A",
IF(D611="Single-choice w/ correct","N/A",
IF(D611="Series", RIGHT(I611, LEN(I611) - FIND("    ",I611)-3
))))))</f>
        <v>Religion</v>
      </c>
      <c r="G611" s="6" t="s">
        <v>16</v>
      </c>
      <c r="H611" s="10" t="s">
        <v>538</v>
      </c>
      <c r="I611" s="9" t="s">
        <v>539</v>
      </c>
      <c r="J611" s="10" t="n">
        <v>3</v>
      </c>
      <c r="K611" s="10" t="s">
        <v>542</v>
      </c>
    </row>
    <row r="612" customFormat="false" ht="15" hidden="false" customHeight="false" outlineLevel="0" collapsed="false">
      <c r="A612" s="1" t="s">
        <v>13</v>
      </c>
      <c r="B612" s="1" t="s">
        <v>437</v>
      </c>
      <c r="C612" s="1" t="str">
        <f aca="false">IF(D612="PRE","N/A",
IF(D612="SUP","N/A",
IF(D612="Single-choice",H612,
IF(D612="Single-choice w/ correct",H612,
IF(D612="Series", LEFT(H612,FIND("_",H612)-1) &amp; "_" &amp; MID(H612,FIND("_",H612,FIND("_",H612)+1)+1,999)
)))))</f>
        <v>N/A</v>
      </c>
      <c r="D612" s="6" t="s">
        <v>438</v>
      </c>
      <c r="E612" s="7" t="str">
        <f aca="false">IF(D612="PRE","N/A", 
IF(D612="SUP",I612, 
IF(D612="Single-choice",I612, 
IF(D612="Single-choice w/ correct",I612, 
IF(D612="Series", LEFT(I612, FIND("    ",I612)
))))))</f>
        <v>Religion</v>
      </c>
      <c r="F612" s="8" t="str">
        <f aca="false">IF(D612="PRE",I612,
IF(D612="SUP",I612,
IF(D612="Single-choice","N/A",
IF(D612="Single-choice w/ correct","N/A",
IF(D612="Series", RIGHT(I612, LEN(I612) - FIND("    ",I612)-3
))))))</f>
        <v>Religion</v>
      </c>
      <c r="G612" s="6" t="s">
        <v>16</v>
      </c>
      <c r="H612" s="10" t="s">
        <v>538</v>
      </c>
      <c r="I612" s="9" t="s">
        <v>539</v>
      </c>
      <c r="J612" s="10" t="n">
        <v>4</v>
      </c>
      <c r="K612" s="10" t="s">
        <v>543</v>
      </c>
    </row>
    <row r="613" customFormat="false" ht="15" hidden="false" customHeight="false" outlineLevel="0" collapsed="false">
      <c r="A613" s="1" t="s">
        <v>13</v>
      </c>
      <c r="B613" s="1" t="s">
        <v>437</v>
      </c>
      <c r="C613" s="1" t="str">
        <f aca="false">IF(D613="PRE","N/A",
IF(D613="SUP","N/A",
IF(D613="Single-choice",H613,
IF(D613="Single-choice w/ correct",H613,
IF(D613="Series", LEFT(H613,FIND("_",H613)-1) &amp; "_" &amp; MID(H613,FIND("_",H613,FIND("_",H613)+1)+1,999)
)))))</f>
        <v>N/A</v>
      </c>
      <c r="D613" s="6" t="s">
        <v>438</v>
      </c>
      <c r="E613" s="7" t="str">
        <f aca="false">IF(D613="PRE","N/A", 
IF(D613="SUP",I613, 
IF(D613="Single-choice",I613, 
IF(D613="Single-choice w/ correct",I613, 
IF(D613="Series", LEFT(I613, FIND("    ",I613)
))))))</f>
        <v>Religion</v>
      </c>
      <c r="F613" s="8" t="str">
        <f aca="false">IF(D613="PRE",I613,
IF(D613="SUP",I613,
IF(D613="Single-choice","N/A",
IF(D613="Single-choice w/ correct","N/A",
IF(D613="Series", RIGHT(I613, LEN(I613) - FIND("    ",I613)-3
))))))</f>
        <v>Religion</v>
      </c>
      <c r="G613" s="6" t="s">
        <v>16</v>
      </c>
      <c r="H613" s="10" t="s">
        <v>538</v>
      </c>
      <c r="I613" s="9" t="s">
        <v>539</v>
      </c>
      <c r="J613" s="10" t="n">
        <v>5</v>
      </c>
      <c r="K613" s="10" t="s">
        <v>544</v>
      </c>
    </row>
    <row r="614" customFormat="false" ht="15" hidden="false" customHeight="false" outlineLevel="0" collapsed="false">
      <c r="A614" s="1" t="s">
        <v>13</v>
      </c>
      <c r="B614" s="1" t="s">
        <v>437</v>
      </c>
      <c r="C614" s="1" t="str">
        <f aca="false">IF(D614="PRE","N/A",
IF(D614="SUP","N/A",
IF(D614="Single-choice",H614,
IF(D614="Single-choice w/ correct",H614,
IF(D614="Series", LEFT(H614,FIND("_",H614)-1) &amp; "_" &amp; MID(H614,FIND("_",H614,FIND("_",H614)+1)+1,999)
)))))</f>
        <v>N/A</v>
      </c>
      <c r="D614" s="6" t="s">
        <v>438</v>
      </c>
      <c r="E614" s="7" t="str">
        <f aca="false">IF(D614="PRE","N/A", 
IF(D614="SUP",I614, 
IF(D614="Single-choice",I614, 
IF(D614="Single-choice w/ correct",I614, 
IF(D614="Series", LEFT(I614, FIND("    ",I614)
))))))</f>
        <v>Religion</v>
      </c>
      <c r="F614" s="8" t="str">
        <f aca="false">IF(D614="PRE",I614,
IF(D614="SUP",I614,
IF(D614="Single-choice","N/A",
IF(D614="Single-choice w/ correct","N/A",
IF(D614="Series", RIGHT(I614, LEN(I614) - FIND("    ",I614)-3
))))))</f>
        <v>Religion</v>
      </c>
      <c r="G614" s="6" t="s">
        <v>16</v>
      </c>
      <c r="H614" s="10" t="s">
        <v>538</v>
      </c>
      <c r="I614" s="9" t="s">
        <v>539</v>
      </c>
      <c r="J614" s="10" t="n">
        <v>6</v>
      </c>
      <c r="K614" s="10" t="s">
        <v>545</v>
      </c>
    </row>
    <row r="615" customFormat="false" ht="15" hidden="false" customHeight="false" outlineLevel="0" collapsed="false">
      <c r="A615" s="1" t="s">
        <v>13</v>
      </c>
      <c r="B615" s="1" t="s">
        <v>437</v>
      </c>
      <c r="C615" s="1" t="str">
        <f aca="false">IF(D615="PRE","N/A",
IF(D615="SUP","N/A",
IF(D615="Single-choice",H615,
IF(D615="Single-choice w/ correct",H615,
IF(D615="Series", LEFT(H615,FIND("_",H615)-1) &amp; "_" &amp; MID(H615,FIND("_",H615,FIND("_",H615)+1)+1,999)
)))))</f>
        <v>N/A</v>
      </c>
      <c r="D615" s="6" t="s">
        <v>438</v>
      </c>
      <c r="E615" s="7" t="str">
        <f aca="false">IF(D615="PRE","N/A", 
IF(D615="SUP",I615, 
IF(D615="Single-choice",I615, 
IF(D615="Single-choice w/ correct",I615, 
IF(D615="Series", LEFT(I615, FIND("    ",I615)
))))))</f>
        <v>Religion</v>
      </c>
      <c r="F615" s="8" t="str">
        <f aca="false">IF(D615="PRE",I615,
IF(D615="SUP",I615,
IF(D615="Single-choice","N/A",
IF(D615="Single-choice w/ correct","N/A",
IF(D615="Series", RIGHT(I615, LEN(I615) - FIND("    ",I615)-3
))))))</f>
        <v>Religion</v>
      </c>
      <c r="G615" s="6" t="s">
        <v>16</v>
      </c>
      <c r="H615" s="10" t="s">
        <v>538</v>
      </c>
      <c r="I615" s="9" t="s">
        <v>539</v>
      </c>
      <c r="J615" s="10" t="n">
        <v>7</v>
      </c>
      <c r="K615" s="10" t="s">
        <v>546</v>
      </c>
    </row>
    <row r="616" customFormat="false" ht="15" hidden="false" customHeight="false" outlineLevel="0" collapsed="false">
      <c r="A616" s="1" t="s">
        <v>13</v>
      </c>
      <c r="B616" s="1" t="s">
        <v>437</v>
      </c>
      <c r="C616" s="1" t="str">
        <f aca="false">IF(D616="PRE","N/A",
IF(D616="SUP","N/A",
IF(D616="Single-choice",H616,
IF(D616="Single-choice w/ correct",H616,
IF(D616="Series", LEFT(H616,FIND("_",H616)-1) &amp; "_" &amp; MID(H616,FIND("_",H616,FIND("_",H616)+1)+1,999)
)))))</f>
        <v>N/A</v>
      </c>
      <c r="D616" s="6" t="s">
        <v>438</v>
      </c>
      <c r="E616" s="7" t="str">
        <f aca="false">IF(D616="PRE","N/A", 
IF(D616="SUP",I616, 
IF(D616="Single-choice",I616, 
IF(D616="Single-choice w/ correct",I616, 
IF(D616="Series", LEFT(I616, FIND("    ",I616)
))))))</f>
        <v>Religion</v>
      </c>
      <c r="F616" s="8" t="str">
        <f aca="false">IF(D616="PRE",I616,
IF(D616="SUP",I616,
IF(D616="Single-choice","N/A",
IF(D616="Single-choice w/ correct","N/A",
IF(D616="Series", RIGHT(I616, LEN(I616) - FIND("    ",I616)-3
))))))</f>
        <v>Religion</v>
      </c>
      <c r="G616" s="6" t="s">
        <v>16</v>
      </c>
      <c r="H616" s="10" t="s">
        <v>538</v>
      </c>
      <c r="I616" s="9" t="s">
        <v>539</v>
      </c>
      <c r="J616" s="10" t="n">
        <v>8</v>
      </c>
      <c r="K616" s="10" t="s">
        <v>547</v>
      </c>
    </row>
    <row r="617" customFormat="false" ht="15" hidden="false" customHeight="false" outlineLevel="0" collapsed="false">
      <c r="A617" s="1" t="s">
        <v>13</v>
      </c>
      <c r="B617" s="1" t="s">
        <v>437</v>
      </c>
      <c r="C617" s="1" t="str">
        <f aca="false">IF(D617="PRE","N/A",
IF(D617="SUP","N/A",
IF(D617="Single-choice",H617,
IF(D617="Single-choice w/ correct",H617,
IF(D617="Series", LEFT(H617,FIND("_",H617)-1) &amp; "_" &amp; MID(H617,FIND("_",H617,FIND("_",H617)+1)+1,999)
)))))</f>
        <v>N/A</v>
      </c>
      <c r="D617" s="6" t="s">
        <v>438</v>
      </c>
      <c r="E617" s="7" t="str">
        <f aca="false">IF(D617="PRE","N/A", 
IF(D617="SUP",I617, 
IF(D617="Single-choice",I617, 
IF(D617="Single-choice w/ correct",I617, 
IF(D617="Series", LEFT(I617, FIND("    ",I617)
))))))</f>
        <v>Religion</v>
      </c>
      <c r="F617" s="8" t="str">
        <f aca="false">IF(D617="PRE",I617,
IF(D617="SUP",I617,
IF(D617="Single-choice","N/A",
IF(D617="Single-choice w/ correct","N/A",
IF(D617="Series", RIGHT(I617, LEN(I617) - FIND("    ",I617)-3
))))))</f>
        <v>Religion</v>
      </c>
      <c r="G617" s="6" t="s">
        <v>16</v>
      </c>
      <c r="H617" s="10" t="s">
        <v>538</v>
      </c>
      <c r="I617" s="9" t="s">
        <v>539</v>
      </c>
      <c r="J617" s="10" t="n">
        <v>9</v>
      </c>
      <c r="K617" s="10" t="s">
        <v>548</v>
      </c>
    </row>
    <row r="618" customFormat="false" ht="15" hidden="false" customHeight="false" outlineLevel="0" collapsed="false">
      <c r="A618" s="1" t="s">
        <v>13</v>
      </c>
      <c r="B618" s="1" t="s">
        <v>437</v>
      </c>
      <c r="C618" s="1" t="str">
        <f aca="false">IF(D618="PRE","N/A",
IF(D618="SUP","N/A",
IF(D618="Single-choice",H618,
IF(D618="Single-choice w/ correct",H618,
IF(D618="Series", LEFT(H618,FIND("_",H618)-1) &amp; "_" &amp; MID(H618,FIND("_",H618,FIND("_",H618)+1)+1,999)
)))))</f>
        <v>N/A</v>
      </c>
      <c r="D618" s="6" t="s">
        <v>438</v>
      </c>
      <c r="E618" s="7" t="str">
        <f aca="false">IF(D618="PRE","N/A", 
IF(D618="SUP",I618, 
IF(D618="Single-choice",I618, 
IF(D618="Single-choice w/ correct",I618, 
IF(D618="Series", LEFT(I618, FIND("    ",I618)
))))))</f>
        <v>Religion</v>
      </c>
      <c r="F618" s="8" t="str">
        <f aca="false">IF(D618="PRE",I618,
IF(D618="SUP",I618,
IF(D618="Single-choice","N/A",
IF(D618="Single-choice w/ correct","N/A",
IF(D618="Series", RIGHT(I618, LEN(I618) - FIND("    ",I618)-3
))))))</f>
        <v>Religion</v>
      </c>
      <c r="G618" s="6" t="s">
        <v>16</v>
      </c>
      <c r="H618" s="10" t="s">
        <v>538</v>
      </c>
      <c r="I618" s="9" t="s">
        <v>539</v>
      </c>
      <c r="J618" s="10" t="n">
        <v>10</v>
      </c>
      <c r="K618" s="10" t="s">
        <v>549</v>
      </c>
    </row>
    <row r="619" customFormat="false" ht="15" hidden="false" customHeight="false" outlineLevel="0" collapsed="false">
      <c r="A619" s="1" t="s">
        <v>13</v>
      </c>
      <c r="B619" s="1" t="s">
        <v>437</v>
      </c>
      <c r="C619" s="1" t="str">
        <f aca="false">IF(D619="PRE","N/A",
IF(D619="SUP","N/A",
IF(D619="Single-choice",H619,
IF(D619="Single-choice w/ correct",H619,
IF(D619="Series", LEFT(H619,FIND("_",H619)-1) &amp; "_" &amp; MID(H619,FIND("_",H619,FIND("_",H619)+1)+1,999)
)))))</f>
        <v>N/A</v>
      </c>
      <c r="D619" s="6" t="s">
        <v>438</v>
      </c>
      <c r="E619" s="7" t="str">
        <f aca="false">IF(D619="PRE","N/A", 
IF(D619="SUP",I619, 
IF(D619="Single-choice",I619, 
IF(D619="Single-choice w/ correct",I619, 
IF(D619="Series", LEFT(I619, FIND("    ",I619)
))))))</f>
        <v>Religion</v>
      </c>
      <c r="F619" s="8" t="str">
        <f aca="false">IF(D619="PRE",I619,
IF(D619="SUP",I619,
IF(D619="Single-choice","N/A",
IF(D619="Single-choice w/ correct","N/A",
IF(D619="Series", RIGHT(I619, LEN(I619) - FIND("    ",I619)-3
))))))</f>
        <v>Religion</v>
      </c>
      <c r="G619" s="6" t="s">
        <v>16</v>
      </c>
      <c r="H619" s="10" t="s">
        <v>538</v>
      </c>
      <c r="I619" s="9" t="s">
        <v>539</v>
      </c>
      <c r="J619" s="10" t="n">
        <v>11</v>
      </c>
      <c r="K619" s="10" t="s">
        <v>520</v>
      </c>
    </row>
    <row r="620" customFormat="false" ht="15" hidden="false" customHeight="false" outlineLevel="0" collapsed="false">
      <c r="A620" s="1" t="s">
        <v>13</v>
      </c>
      <c r="B620" s="1" t="s">
        <v>437</v>
      </c>
      <c r="C620" s="1" t="str">
        <f aca="false">IF(D620="PRE","N/A",
IF(D620="SUP","N/A",
IF(D620="Single-choice",H620,
IF(D620="Single-choice w/ correct",H620,
IF(D620="Series", LEFT(H620,FIND("_",H620)-1) &amp; "_" &amp; MID(H620,FIND("_",H620,FIND("_",H620)+1)+1,999)
)))))</f>
        <v>N/A</v>
      </c>
      <c r="D620" s="6" t="s">
        <v>438</v>
      </c>
      <c r="E620" s="7" t="str">
        <f aca="false">IF(D620="PRE","N/A", 
IF(D620="SUP",I620, 
IF(D620="Single-choice",I620, 
IF(D620="Single-choice w/ correct",I620, 
IF(D620="Series", LEFT(I620, FIND("    ",I620)
))))))</f>
        <v>Religion</v>
      </c>
      <c r="F620" s="8" t="str">
        <f aca="false">IF(D620="PRE",I620,
IF(D620="SUP",I620,
IF(D620="Single-choice","N/A",
IF(D620="Single-choice w/ correct","N/A",
IF(D620="Series", RIGHT(I620, LEN(I620) - FIND("    ",I620)-3
))))))</f>
        <v>Religion</v>
      </c>
      <c r="G620" s="6" t="s">
        <v>16</v>
      </c>
      <c r="H620" s="10" t="s">
        <v>538</v>
      </c>
      <c r="I620" s="9" t="s">
        <v>539</v>
      </c>
      <c r="J620" s="10" t="n">
        <v>12</v>
      </c>
      <c r="K620" s="10" t="s">
        <v>550</v>
      </c>
    </row>
    <row r="621" customFormat="false" ht="15" hidden="false" customHeight="false" outlineLevel="0" collapsed="false">
      <c r="A621" s="1" t="s">
        <v>13</v>
      </c>
      <c r="B621" s="1" t="s">
        <v>437</v>
      </c>
      <c r="C621" s="1" t="str">
        <f aca="false">IF(D621="PRE","N/A",
IF(D621="SUP","N/A",
IF(D621="Single-choice",H621,
IF(D621="Single-choice w/ correct",H621,
IF(D621="Series", LEFT(H621,FIND("_",H621)-1) &amp; "_" &amp; MID(H621,FIND("_",H621,FIND("_",H621)+1)+1,999)
)))))</f>
        <v>N/A</v>
      </c>
      <c r="D621" s="6" t="s">
        <v>438</v>
      </c>
      <c r="E621" s="7" t="str">
        <f aca="false">IF(D621="PRE","N/A", 
IF(D621="SUP",I621, 
IF(D621="Single-choice",I621, 
IF(D621="Single-choice w/ correct",I621, 
IF(D621="Series", LEFT(I621, FIND("    ",I621)
))))))</f>
        <v>Religion</v>
      </c>
      <c r="F621" s="8" t="str">
        <f aca="false">IF(D621="PRE",I621,
IF(D621="SUP",I621,
IF(D621="Single-choice","N/A",
IF(D621="Single-choice w/ correct","N/A",
IF(D621="Series", RIGHT(I621, LEN(I621) - FIND("    ",I621)-3
))))))</f>
        <v>Religion</v>
      </c>
      <c r="G621" s="6" t="s">
        <v>16</v>
      </c>
      <c r="H621" s="10" t="s">
        <v>538</v>
      </c>
      <c r="I621" s="9" t="s">
        <v>539</v>
      </c>
      <c r="J621" s="10" t="n">
        <v>99</v>
      </c>
      <c r="K621" s="10" t="s">
        <v>64</v>
      </c>
    </row>
    <row r="622" customFormat="false" ht="15" hidden="false" customHeight="true" outlineLevel="0" collapsed="false">
      <c r="A622" s="1" t="s">
        <v>13</v>
      </c>
      <c r="B622" s="1" t="s">
        <v>437</v>
      </c>
      <c r="C622" s="1" t="str">
        <f aca="false">IF(D622="PRE","N/A",
IF(D622="SUP","N/A",
IF(D622="Single-choice",H622,
IF(D622="Single-choice w/ correct",H622,
IF(D622="Series", LEFT(H622,FIND("_",H622)-1) &amp; "_" &amp; MID(H622,FIND("_",H622,FIND("_",H622)+1)+1,999)
)))))</f>
        <v>N/A</v>
      </c>
      <c r="D622" s="6" t="s">
        <v>438</v>
      </c>
      <c r="E622" s="7" t="str">
        <f aca="false">IF(D622="PRE","N/A", 
IF(D622="SUP",I622, 
IF(D622="Single-choice",I622, 
IF(D622="Single-choice w/ correct",I622, 
IF(D622="Series", LEFT(I622, FIND("    ",I622)
))))))</f>
        <v>Born-again or evangelical Christian</v>
      </c>
      <c r="F622" s="8" t="str">
        <f aca="false">IF(D622="PRE",I622,
IF(D622="SUP",I622,
IF(D622="Single-choice","N/A",
IF(D622="Single-choice w/ correct","N/A",
IF(D622="Series", RIGHT(I622, LEN(I622) - FIND("    ",I622)-3
))))))</f>
        <v>Born-again or evangelical Christian</v>
      </c>
      <c r="G622" s="6" t="s">
        <v>16</v>
      </c>
      <c r="H622" s="6" t="s">
        <v>551</v>
      </c>
      <c r="I622" s="9" t="s">
        <v>552</v>
      </c>
      <c r="J622" s="6" t="n">
        <v>1</v>
      </c>
      <c r="K622" s="6" t="s">
        <v>553</v>
      </c>
    </row>
    <row r="623" customFormat="false" ht="15" hidden="false" customHeight="false" outlineLevel="0" collapsed="false">
      <c r="A623" s="1" t="s">
        <v>13</v>
      </c>
      <c r="B623" s="1" t="s">
        <v>437</v>
      </c>
      <c r="C623" s="1" t="str">
        <f aca="false">IF(D623="PRE","N/A",
IF(D623="SUP","N/A",
IF(D623="Single-choice",H623,
IF(D623="Single-choice w/ correct",H623,
IF(D623="Series", LEFT(H623,FIND("_",H623)-1) &amp; "_" &amp; MID(H623,FIND("_",H623,FIND("_",H623)+1)+1,999)
)))))</f>
        <v>N/A</v>
      </c>
      <c r="D623" s="6" t="s">
        <v>438</v>
      </c>
      <c r="E623" s="7" t="str">
        <f aca="false">IF(D623="PRE","N/A", 
IF(D623="SUP",I623, 
IF(D623="Single-choice",I623, 
IF(D623="Single-choice w/ correct",I623, 
IF(D623="Series", LEFT(I623, FIND("    ",I623)
))))))</f>
        <v>Born-again or evangelical Christian</v>
      </c>
      <c r="F623" s="8" t="str">
        <f aca="false">IF(D623="PRE",I623,
IF(D623="SUP",I623,
IF(D623="Single-choice","N/A",
IF(D623="Single-choice w/ correct","N/A",
IF(D623="Series", RIGHT(I623, LEN(I623) - FIND("    ",I623)-3
))))))</f>
        <v>Born-again or evangelical Christian</v>
      </c>
      <c r="G623" s="6" t="s">
        <v>16</v>
      </c>
      <c r="H623" s="10" t="s">
        <v>551</v>
      </c>
      <c r="I623" s="9" t="s">
        <v>552</v>
      </c>
      <c r="J623" s="10" t="n">
        <v>2</v>
      </c>
      <c r="K623" s="10" t="s">
        <v>554</v>
      </c>
    </row>
    <row r="624" customFormat="false" ht="15" hidden="false" customHeight="false" outlineLevel="0" collapsed="false">
      <c r="A624" s="1" t="s">
        <v>13</v>
      </c>
      <c r="B624" s="1" t="s">
        <v>437</v>
      </c>
      <c r="C624" s="1" t="str">
        <f aca="false">IF(D624="PRE","N/A",
IF(D624="SUP","N/A",
IF(D624="Single-choice",H624,
IF(D624="Single-choice w/ correct",H624,
IF(D624="Series", LEFT(H624,FIND("_",H624)-1) &amp; "_" &amp; MID(H624,FIND("_",H624,FIND("_",H624)+1)+1,999)
)))))</f>
        <v>N/A</v>
      </c>
      <c r="D624" s="6" t="s">
        <v>438</v>
      </c>
      <c r="E624" s="7" t="str">
        <f aca="false">IF(D624="PRE","N/A", 
IF(D624="SUP",I624, 
IF(D624="Single-choice",I624, 
IF(D624="Single-choice w/ correct",I624, 
IF(D624="Series", LEFT(I624, FIND("    ",I624)
))))))</f>
        <v>Born-again or evangelical Christian</v>
      </c>
      <c r="F624" s="8" t="str">
        <f aca="false">IF(D624="PRE",I624,
IF(D624="SUP",I624,
IF(D624="Single-choice","N/A",
IF(D624="Single-choice w/ correct","N/A",
IF(D624="Series", RIGHT(I624, LEN(I624) - FIND("    ",I624)-3
))))))</f>
        <v>Born-again or evangelical Christian</v>
      </c>
      <c r="G624" s="6" t="s">
        <v>16</v>
      </c>
      <c r="H624" s="10" t="s">
        <v>551</v>
      </c>
      <c r="I624" s="9" t="s">
        <v>552</v>
      </c>
      <c r="J624" s="10" t="n">
        <v>99</v>
      </c>
      <c r="K624" s="10" t="s">
        <v>64</v>
      </c>
    </row>
    <row r="625" customFormat="false" ht="15" hidden="false" customHeight="true" outlineLevel="0" collapsed="false">
      <c r="A625" s="1" t="s">
        <v>13</v>
      </c>
      <c r="B625" s="1" t="s">
        <v>437</v>
      </c>
      <c r="C625" s="1" t="str">
        <f aca="false">IF(D625="PRE","N/A",
IF(D625="SUP","N/A",
IF(D625="Single-choice",H625,
IF(D625="Single-choice w/ correct",H625,
IF(D625="Series", LEFT(H625,FIND("_",H625)-1) &amp; "_" &amp; MID(H625,FIND("_",H625,FIND("_",H625)+1)+1,999)
)))))</f>
        <v>N/A</v>
      </c>
      <c r="D625" s="6" t="s">
        <v>438</v>
      </c>
      <c r="E625" s="7" t="str">
        <f aca="false">IF(D625="PRE","N/A", 
IF(D625="SUP",I625, 
IF(D625="Single-choice",I625, 
IF(D625="Single-choice w/ correct",I625, 
IF(D625="Series", LEFT(I625, FIND("    ",I625)
))))))</f>
        <v>Condensed 4-way religion variable</v>
      </c>
      <c r="F625" s="8" t="str">
        <f aca="false">IF(D625="PRE",I625,
IF(D625="SUP",I625,
IF(D625="Single-choice","N/A",
IF(D625="Single-choice w/ correct","N/A",
IF(D625="Series", RIGHT(I625, LEN(I625) - FIND("    ",I625)-3
))))))</f>
        <v>Condensed 4-way religion variable</v>
      </c>
      <c r="G625" s="6" t="s">
        <v>16</v>
      </c>
      <c r="H625" s="6" t="s">
        <v>555</v>
      </c>
      <c r="I625" s="9" t="s">
        <v>556</v>
      </c>
      <c r="J625" s="6" t="n">
        <v>1</v>
      </c>
      <c r="K625" s="6" t="s">
        <v>540</v>
      </c>
    </row>
    <row r="626" customFormat="false" ht="15" hidden="false" customHeight="false" outlineLevel="0" collapsed="false">
      <c r="A626" s="1" t="s">
        <v>13</v>
      </c>
      <c r="B626" s="1" t="s">
        <v>437</v>
      </c>
      <c r="C626" s="1" t="str">
        <f aca="false">IF(D626="PRE","N/A",
IF(D626="SUP","N/A",
IF(D626="Single-choice",H626,
IF(D626="Single-choice w/ correct",H626,
IF(D626="Series", LEFT(H626,FIND("_",H626)-1) &amp; "_" &amp; MID(H626,FIND("_",H626,FIND("_",H626)+1)+1,999)
)))))</f>
        <v>N/A</v>
      </c>
      <c r="D626" s="6" t="s">
        <v>438</v>
      </c>
      <c r="E626" s="7" t="str">
        <f aca="false">IF(D626="PRE","N/A", 
IF(D626="SUP",I626, 
IF(D626="Single-choice",I626, 
IF(D626="Single-choice w/ correct",I626, 
IF(D626="Series", LEFT(I626, FIND("    ",I626)
))))))</f>
        <v>Condensed 4-way religion variable</v>
      </c>
      <c r="F626" s="8" t="str">
        <f aca="false">IF(D626="PRE",I626,
IF(D626="SUP",I626,
IF(D626="Single-choice","N/A",
IF(D626="Single-choice w/ correct","N/A",
IF(D626="Series", RIGHT(I626, LEN(I626) - FIND("    ",I626)-3
))))))</f>
        <v>Condensed 4-way religion variable</v>
      </c>
      <c r="G626" s="6" t="s">
        <v>16</v>
      </c>
      <c r="H626" s="10" t="s">
        <v>555</v>
      </c>
      <c r="I626" s="9" t="s">
        <v>556</v>
      </c>
      <c r="J626" s="10" t="n">
        <v>2</v>
      </c>
      <c r="K626" s="10" t="s">
        <v>557</v>
      </c>
    </row>
    <row r="627" customFormat="false" ht="15" hidden="false" customHeight="false" outlineLevel="0" collapsed="false">
      <c r="A627" s="1" t="s">
        <v>13</v>
      </c>
      <c r="B627" s="1" t="s">
        <v>437</v>
      </c>
      <c r="C627" s="1" t="str">
        <f aca="false">IF(D627="PRE","N/A",
IF(D627="SUP","N/A",
IF(D627="Single-choice",H627,
IF(D627="Single-choice w/ correct",H627,
IF(D627="Series", LEFT(H627,FIND("_",H627)-1) &amp; "_" &amp; MID(H627,FIND("_",H627,FIND("_",H627)+1)+1,999)
)))))</f>
        <v>N/A</v>
      </c>
      <c r="D627" s="6" t="s">
        <v>438</v>
      </c>
      <c r="E627" s="7" t="str">
        <f aca="false">IF(D627="PRE","N/A", 
IF(D627="SUP",I627, 
IF(D627="Single-choice",I627, 
IF(D627="Single-choice w/ correct",I627, 
IF(D627="Series", LEFT(I627, FIND("    ",I627)
))))))</f>
        <v>Condensed 4-way religion variable</v>
      </c>
      <c r="F627" s="8" t="str">
        <f aca="false">IF(D627="PRE",I627,
IF(D627="SUP",I627,
IF(D627="Single-choice","N/A",
IF(D627="Single-choice w/ correct","N/A",
IF(D627="Series", RIGHT(I627, LEN(I627) - FIND("    ",I627)-3
))))))</f>
        <v>Condensed 4-way religion variable</v>
      </c>
      <c r="G627" s="6" t="s">
        <v>16</v>
      </c>
      <c r="H627" s="10" t="s">
        <v>555</v>
      </c>
      <c r="I627" s="9" t="s">
        <v>556</v>
      </c>
      <c r="J627" s="10" t="n">
        <v>3</v>
      </c>
      <c r="K627" s="10" t="s">
        <v>558</v>
      </c>
    </row>
    <row r="628" customFormat="false" ht="15" hidden="false" customHeight="false" outlineLevel="0" collapsed="false">
      <c r="A628" s="1" t="s">
        <v>13</v>
      </c>
      <c r="B628" s="1" t="s">
        <v>437</v>
      </c>
      <c r="C628" s="1" t="str">
        <f aca="false">IF(D628="PRE","N/A",
IF(D628="SUP","N/A",
IF(D628="Single-choice",H628,
IF(D628="Single-choice w/ correct",H628,
IF(D628="Series", LEFT(H628,FIND("_",H628)-1) &amp; "_" &amp; MID(H628,FIND("_",H628,FIND("_",H628)+1)+1,999)
)))))</f>
        <v>N/A</v>
      </c>
      <c r="D628" s="6" t="s">
        <v>438</v>
      </c>
      <c r="E628" s="7" t="str">
        <f aca="false">IF(D628="PRE","N/A", 
IF(D628="SUP",I628, 
IF(D628="Single-choice",I628, 
IF(D628="Single-choice w/ correct",I628, 
IF(D628="Series", LEFT(I628, FIND("    ",I628)
))))))</f>
        <v>Condensed 4-way religion variable</v>
      </c>
      <c r="F628" s="8" t="str">
        <f aca="false">IF(D628="PRE",I628,
IF(D628="SUP",I628,
IF(D628="Single-choice","N/A",
IF(D628="Single-choice w/ correct","N/A",
IF(D628="Series", RIGHT(I628, LEN(I628) - FIND("    ",I628)-3
))))))</f>
        <v>Condensed 4-way religion variable</v>
      </c>
      <c r="G628" s="6" t="s">
        <v>16</v>
      </c>
      <c r="H628" s="10" t="s">
        <v>555</v>
      </c>
      <c r="I628" s="9" t="s">
        <v>556</v>
      </c>
      <c r="J628" s="10" t="n">
        <v>4</v>
      </c>
      <c r="K628" s="10" t="s">
        <v>520</v>
      </c>
    </row>
    <row r="629" customFormat="false" ht="15" hidden="false" customHeight="false" outlineLevel="0" collapsed="false">
      <c r="A629" s="1" t="s">
        <v>13</v>
      </c>
      <c r="B629" s="1" t="s">
        <v>437</v>
      </c>
      <c r="C629" s="1" t="str">
        <f aca="false">IF(D629="PRE","N/A",
IF(D629="SUP","N/A",
IF(D629="Single-choice",H629,
IF(D629="Single-choice w/ correct",H629,
IF(D629="Series", LEFT(H629,FIND("_",H629)-1) &amp; "_" &amp; MID(H629,FIND("_",H629,FIND("_",H629)+1)+1,999)
)))))</f>
        <v>N/A</v>
      </c>
      <c r="D629" s="6" t="s">
        <v>438</v>
      </c>
      <c r="E629" s="7" t="str">
        <f aca="false">IF(D629="PRE","N/A", 
IF(D629="SUP",I629, 
IF(D629="Single-choice",I629, 
IF(D629="Single-choice w/ correct",I629, 
IF(D629="Series", LEFT(I629, FIND("    ",I629)
))))))</f>
        <v>Condensed 4-way religion variable</v>
      </c>
      <c r="F629" s="8" t="str">
        <f aca="false">IF(D629="PRE",I629,
IF(D629="SUP",I629,
IF(D629="Single-choice","N/A",
IF(D629="Single-choice w/ correct","N/A",
IF(D629="Series", RIGHT(I629, LEN(I629) - FIND("    ",I629)-3
))))))</f>
        <v>Condensed 4-way religion variable</v>
      </c>
      <c r="G629" s="6" t="s">
        <v>16</v>
      </c>
      <c r="H629" s="10" t="s">
        <v>555</v>
      </c>
      <c r="I629" s="9" t="s">
        <v>556</v>
      </c>
      <c r="J629" s="10" t="n">
        <v>99</v>
      </c>
      <c r="K629" s="10" t="s">
        <v>64</v>
      </c>
    </row>
    <row r="630" customFormat="false" ht="15" hidden="false" customHeight="true" outlineLevel="0" collapsed="false">
      <c r="A630" s="1" t="s">
        <v>13</v>
      </c>
      <c r="B630" s="1" t="s">
        <v>437</v>
      </c>
      <c r="C630" s="1" t="str">
        <f aca="false">IF(D630="PRE","N/A",
IF(D630="SUP","N/A",
IF(D630="Single-choice",H630,
IF(D630="Single-choice w/ correct",H630,
IF(D630="Series", LEFT(H630,FIND("_",H630)-1) &amp; "_" &amp; MID(H630,FIND("_",H630,FIND("_",H630)+1)+1,999)
)))))</f>
        <v>N/A</v>
      </c>
      <c r="D630" s="6" t="s">
        <v>438</v>
      </c>
      <c r="E630" s="7" t="str">
        <f aca="false">IF(D630="PRE","N/A", 
IF(D630="SUP",I630, 
IF(D630="Single-choice",I630, 
IF(D630="Single-choice w/ correct",I630, 
IF(D630="Series", LEFT(I630, FIND("    ",I630)
))))))</f>
        <v>Religious service attendance</v>
      </c>
      <c r="F630" s="8" t="str">
        <f aca="false">IF(D630="PRE",I630,
IF(D630="SUP",I630,
IF(D630="Single-choice","N/A",
IF(D630="Single-choice w/ correct","N/A",
IF(D630="Series", RIGHT(I630, LEN(I630) - FIND("    ",I630)-3
))))))</f>
        <v>Religious service attendance</v>
      </c>
      <c r="G630" s="6" t="s">
        <v>16</v>
      </c>
      <c r="H630" s="6" t="s">
        <v>559</v>
      </c>
      <c r="I630" s="9" t="s">
        <v>560</v>
      </c>
      <c r="J630" s="6" t="n">
        <v>1</v>
      </c>
      <c r="K630" s="6" t="s">
        <v>561</v>
      </c>
    </row>
    <row r="631" customFormat="false" ht="15" hidden="false" customHeight="false" outlineLevel="0" collapsed="false">
      <c r="A631" s="1" t="s">
        <v>13</v>
      </c>
      <c r="B631" s="1" t="s">
        <v>437</v>
      </c>
      <c r="C631" s="1" t="str">
        <f aca="false">IF(D631="PRE","N/A",
IF(D631="SUP","N/A",
IF(D631="Single-choice",H631,
IF(D631="Single-choice w/ correct",H631,
IF(D631="Series", LEFT(H631,FIND("_",H631)-1) &amp; "_" &amp; MID(H631,FIND("_",H631,FIND("_",H631)+1)+1,999)
)))))</f>
        <v>N/A</v>
      </c>
      <c r="D631" s="6" t="s">
        <v>438</v>
      </c>
      <c r="E631" s="7" t="str">
        <f aca="false">IF(D631="PRE","N/A", 
IF(D631="SUP",I631, 
IF(D631="Single-choice",I631, 
IF(D631="Single-choice w/ correct",I631, 
IF(D631="Series", LEFT(I631, FIND("    ",I631)
))))))</f>
        <v>Religious service attendance</v>
      </c>
      <c r="F631" s="8" t="str">
        <f aca="false">IF(D631="PRE",I631,
IF(D631="SUP",I631,
IF(D631="Single-choice","N/A",
IF(D631="Single-choice w/ correct","N/A",
IF(D631="Series", RIGHT(I631, LEN(I631) - FIND("    ",I631)-3
))))))</f>
        <v>Religious service attendance</v>
      </c>
      <c r="G631" s="6" t="s">
        <v>16</v>
      </c>
      <c r="H631" s="10" t="s">
        <v>559</v>
      </c>
      <c r="I631" s="9" t="s">
        <v>560</v>
      </c>
      <c r="J631" s="10" t="n">
        <v>2</v>
      </c>
      <c r="K631" s="10" t="s">
        <v>562</v>
      </c>
    </row>
    <row r="632" customFormat="false" ht="15" hidden="false" customHeight="false" outlineLevel="0" collapsed="false">
      <c r="A632" s="1" t="s">
        <v>13</v>
      </c>
      <c r="B632" s="1" t="s">
        <v>437</v>
      </c>
      <c r="C632" s="1" t="str">
        <f aca="false">IF(D632="PRE","N/A",
IF(D632="SUP","N/A",
IF(D632="Single-choice",H632,
IF(D632="Single-choice w/ correct",H632,
IF(D632="Series", LEFT(H632,FIND("_",H632)-1) &amp; "_" &amp; MID(H632,FIND("_",H632,FIND("_",H632)+1)+1,999)
)))))</f>
        <v>N/A</v>
      </c>
      <c r="D632" s="6" t="s">
        <v>438</v>
      </c>
      <c r="E632" s="7" t="str">
        <f aca="false">IF(D632="PRE","N/A", 
IF(D632="SUP",I632, 
IF(D632="Single-choice",I632, 
IF(D632="Single-choice w/ correct",I632, 
IF(D632="Series", LEFT(I632, FIND("    ",I632)
))))))</f>
        <v>Religious service attendance</v>
      </c>
      <c r="F632" s="8" t="str">
        <f aca="false">IF(D632="PRE",I632,
IF(D632="SUP",I632,
IF(D632="Single-choice","N/A",
IF(D632="Single-choice w/ correct","N/A",
IF(D632="Series", RIGHT(I632, LEN(I632) - FIND("    ",I632)-3
))))))</f>
        <v>Religious service attendance</v>
      </c>
      <c r="G632" s="6" t="s">
        <v>16</v>
      </c>
      <c r="H632" s="10" t="s">
        <v>559</v>
      </c>
      <c r="I632" s="9" t="s">
        <v>560</v>
      </c>
      <c r="J632" s="10" t="n">
        <v>3</v>
      </c>
      <c r="K632" s="10" t="s">
        <v>563</v>
      </c>
    </row>
    <row r="633" customFormat="false" ht="15" hidden="false" customHeight="false" outlineLevel="0" collapsed="false">
      <c r="A633" s="1" t="s">
        <v>13</v>
      </c>
      <c r="B633" s="1" t="s">
        <v>437</v>
      </c>
      <c r="C633" s="1" t="str">
        <f aca="false">IF(D633="PRE","N/A",
IF(D633="SUP","N/A",
IF(D633="Single-choice",H633,
IF(D633="Single-choice w/ correct",H633,
IF(D633="Series", LEFT(H633,FIND("_",H633)-1) &amp; "_" &amp; MID(H633,FIND("_",H633,FIND("_",H633)+1)+1,999)
)))))</f>
        <v>N/A</v>
      </c>
      <c r="D633" s="6" t="s">
        <v>438</v>
      </c>
      <c r="E633" s="7" t="str">
        <f aca="false">IF(D633="PRE","N/A", 
IF(D633="SUP",I633, 
IF(D633="Single-choice",I633, 
IF(D633="Single-choice w/ correct",I633, 
IF(D633="Series", LEFT(I633, FIND("    ",I633)
))))))</f>
        <v>Religious service attendance</v>
      </c>
      <c r="F633" s="8" t="str">
        <f aca="false">IF(D633="PRE",I633,
IF(D633="SUP",I633,
IF(D633="Single-choice","N/A",
IF(D633="Single-choice w/ correct","N/A",
IF(D633="Series", RIGHT(I633, LEN(I633) - FIND("    ",I633)-3
))))))</f>
        <v>Religious service attendance</v>
      </c>
      <c r="G633" s="6" t="s">
        <v>16</v>
      </c>
      <c r="H633" s="10" t="s">
        <v>559</v>
      </c>
      <c r="I633" s="9" t="s">
        <v>560</v>
      </c>
      <c r="J633" s="10" t="n">
        <v>4</v>
      </c>
      <c r="K633" s="10" t="s">
        <v>564</v>
      </c>
    </row>
    <row r="634" customFormat="false" ht="15" hidden="false" customHeight="false" outlineLevel="0" collapsed="false">
      <c r="A634" s="1" t="s">
        <v>13</v>
      </c>
      <c r="B634" s="1" t="s">
        <v>437</v>
      </c>
      <c r="C634" s="1" t="str">
        <f aca="false">IF(D634="PRE","N/A",
IF(D634="SUP","N/A",
IF(D634="Single-choice",H634,
IF(D634="Single-choice w/ correct",H634,
IF(D634="Series", LEFT(H634,FIND("_",H634)-1) &amp; "_" &amp; MID(H634,FIND("_",H634,FIND("_",H634)+1)+1,999)
)))))</f>
        <v>N/A</v>
      </c>
      <c r="D634" s="6" t="s">
        <v>438</v>
      </c>
      <c r="E634" s="7" t="str">
        <f aca="false">IF(D634="PRE","N/A", 
IF(D634="SUP",I634, 
IF(D634="Single-choice",I634, 
IF(D634="Single-choice w/ correct",I634, 
IF(D634="Series", LEFT(I634, FIND("    ",I634)
))))))</f>
        <v>Religious service attendance</v>
      </c>
      <c r="F634" s="8" t="str">
        <f aca="false">IF(D634="PRE",I634,
IF(D634="SUP",I634,
IF(D634="Single-choice","N/A",
IF(D634="Single-choice w/ correct","N/A",
IF(D634="Series", RIGHT(I634, LEN(I634) - FIND("    ",I634)-3
))))))</f>
        <v>Religious service attendance</v>
      </c>
      <c r="G634" s="6" t="s">
        <v>16</v>
      </c>
      <c r="H634" s="10" t="s">
        <v>559</v>
      </c>
      <c r="I634" s="9" t="s">
        <v>560</v>
      </c>
      <c r="J634" s="10" t="n">
        <v>5</v>
      </c>
      <c r="K634" s="10" t="s">
        <v>565</v>
      </c>
    </row>
    <row r="635" customFormat="false" ht="15" hidden="false" customHeight="false" outlineLevel="0" collapsed="false">
      <c r="A635" s="1" t="s">
        <v>13</v>
      </c>
      <c r="B635" s="1" t="s">
        <v>437</v>
      </c>
      <c r="C635" s="1" t="str">
        <f aca="false">IF(D635="PRE","N/A",
IF(D635="SUP","N/A",
IF(D635="Single-choice",H635,
IF(D635="Single-choice w/ correct",H635,
IF(D635="Series", LEFT(H635,FIND("_",H635)-1) &amp; "_" &amp; MID(H635,FIND("_",H635,FIND("_",H635)+1)+1,999)
)))))</f>
        <v>N/A</v>
      </c>
      <c r="D635" s="6" t="s">
        <v>438</v>
      </c>
      <c r="E635" s="7" t="str">
        <f aca="false">IF(D635="PRE","N/A", 
IF(D635="SUP",I635, 
IF(D635="Single-choice",I635, 
IF(D635="Single-choice w/ correct",I635, 
IF(D635="Series", LEFT(I635, FIND("    ",I635)
))))))</f>
        <v>Religious service attendance</v>
      </c>
      <c r="F635" s="8" t="str">
        <f aca="false">IF(D635="PRE",I635,
IF(D635="SUP",I635,
IF(D635="Single-choice","N/A",
IF(D635="Single-choice w/ correct","N/A",
IF(D635="Series", RIGHT(I635, LEN(I635) - FIND("    ",I635)-3
))))))</f>
        <v>Religious service attendance</v>
      </c>
      <c r="G635" s="6" t="s">
        <v>16</v>
      </c>
      <c r="H635" s="10" t="s">
        <v>559</v>
      </c>
      <c r="I635" s="9" t="s">
        <v>560</v>
      </c>
      <c r="J635" s="10" t="n">
        <v>6</v>
      </c>
      <c r="K635" s="10" t="s">
        <v>248</v>
      </c>
    </row>
    <row r="636" customFormat="false" ht="15" hidden="false" customHeight="false" outlineLevel="0" collapsed="false">
      <c r="A636" s="1" t="s">
        <v>13</v>
      </c>
      <c r="B636" s="1" t="s">
        <v>437</v>
      </c>
      <c r="C636" s="1" t="str">
        <f aca="false">IF(D636="PRE","N/A",
IF(D636="SUP","N/A",
IF(D636="Single-choice",H636,
IF(D636="Single-choice w/ correct",H636,
IF(D636="Series", LEFT(H636,FIND("_",H636)-1) &amp; "_" &amp; MID(H636,FIND("_",H636,FIND("_",H636)+1)+1,999)
)))))</f>
        <v>N/A</v>
      </c>
      <c r="D636" s="6" t="s">
        <v>438</v>
      </c>
      <c r="E636" s="7" t="str">
        <f aca="false">IF(D636="PRE","N/A", 
IF(D636="SUP",I636, 
IF(D636="Single-choice",I636, 
IF(D636="Single-choice w/ correct",I636, 
IF(D636="Series", LEFT(I636, FIND("    ",I636)
))))))</f>
        <v>Religious service attendance</v>
      </c>
      <c r="F636" s="8" t="str">
        <f aca="false">IF(D636="PRE",I636,
IF(D636="SUP",I636,
IF(D636="Single-choice","N/A",
IF(D636="Single-choice w/ correct","N/A",
IF(D636="Series", RIGHT(I636, LEN(I636) - FIND("    ",I636)-3
))))))</f>
        <v>Religious service attendance</v>
      </c>
      <c r="G636" s="6" t="s">
        <v>16</v>
      </c>
      <c r="H636" s="10" t="s">
        <v>559</v>
      </c>
      <c r="I636" s="9" t="s">
        <v>560</v>
      </c>
      <c r="J636" s="10" t="n">
        <v>99</v>
      </c>
      <c r="K636" s="10" t="s">
        <v>64</v>
      </c>
    </row>
    <row r="637" customFormat="false" ht="15" hidden="false" customHeight="true" outlineLevel="0" collapsed="false">
      <c r="A637" s="1" t="s">
        <v>13</v>
      </c>
      <c r="B637" s="1" t="s">
        <v>437</v>
      </c>
      <c r="C637" s="1" t="str">
        <f aca="false">IF(D637="PRE","N/A",
IF(D637="SUP","N/A",
IF(D637="Single-choice",H637,
IF(D637="Single-choice w/ correct",H637,
IF(D637="Series", LEFT(H637,FIND("_",H637)-1) &amp; "_" &amp; MID(H637,FIND("_",H637,FIND("_",H637)+1)+1,999)
)))))</f>
        <v>N/A</v>
      </c>
      <c r="D637" s="6" t="s">
        <v>438</v>
      </c>
      <c r="E637" s="7" t="str">
        <f aca="false">IF(D637="PRE","N/A", 
IF(D637="SUP",I637, 
IF(D637="Single-choice",I637, 
IF(D637="Single-choice w/ correct",I637, 
IF(D637="Series", LEFT(I637, FIND("    ",I637)
))))))</f>
        <v>Party</v>
      </c>
      <c r="F637" s="8" t="str">
        <f aca="false">IF(D637="PRE",I637,
IF(D637="SUP",I637,
IF(D637="Single-choice","N/A",
IF(D637="Single-choice w/ correct","N/A",
IF(D637="Series", RIGHT(I637, LEN(I637) - FIND("    ",I637)-3
))))))</f>
        <v>Party</v>
      </c>
      <c r="G637" s="6" t="s">
        <v>16</v>
      </c>
      <c r="H637" s="6" t="s">
        <v>566</v>
      </c>
      <c r="I637" s="9" t="s">
        <v>567</v>
      </c>
      <c r="J637" s="6" t="n">
        <v>1</v>
      </c>
      <c r="K637" s="6" t="s">
        <v>568</v>
      </c>
    </row>
    <row r="638" customFormat="false" ht="15" hidden="false" customHeight="false" outlineLevel="0" collapsed="false">
      <c r="A638" s="1" t="s">
        <v>13</v>
      </c>
      <c r="B638" s="1" t="s">
        <v>437</v>
      </c>
      <c r="C638" s="1" t="str">
        <f aca="false">IF(D638="PRE","N/A",
IF(D638="SUP","N/A",
IF(D638="Single-choice",H638,
IF(D638="Single-choice w/ correct",H638,
IF(D638="Series", LEFT(H638,FIND("_",H638)-1) &amp; "_" &amp; MID(H638,FIND("_",H638,FIND("_",H638)+1)+1,999)
)))))</f>
        <v>N/A</v>
      </c>
      <c r="D638" s="6" t="s">
        <v>438</v>
      </c>
      <c r="E638" s="7" t="str">
        <f aca="false">IF(D638="PRE","N/A", 
IF(D638="SUP",I638, 
IF(D638="Single-choice",I638, 
IF(D638="Single-choice w/ correct",I638, 
IF(D638="Series", LEFT(I638, FIND("    ",I638)
))))))</f>
        <v>Party</v>
      </c>
      <c r="F638" s="8" t="str">
        <f aca="false">IF(D638="PRE",I638,
IF(D638="SUP",I638,
IF(D638="Single-choice","N/A",
IF(D638="Single-choice w/ correct","N/A",
IF(D638="Series", RIGHT(I638, LEN(I638) - FIND("    ",I638)-3
))))))</f>
        <v>Party</v>
      </c>
      <c r="G638" s="6" t="s">
        <v>16</v>
      </c>
      <c r="H638" s="10" t="s">
        <v>566</v>
      </c>
      <c r="I638" s="9" t="s">
        <v>567</v>
      </c>
      <c r="J638" s="10" t="n">
        <v>2</v>
      </c>
      <c r="K638" s="10" t="s">
        <v>569</v>
      </c>
    </row>
    <row r="639" customFormat="false" ht="15" hidden="false" customHeight="false" outlineLevel="0" collapsed="false">
      <c r="A639" s="1" t="s">
        <v>13</v>
      </c>
      <c r="B639" s="1" t="s">
        <v>437</v>
      </c>
      <c r="C639" s="1" t="str">
        <f aca="false">IF(D639="PRE","N/A",
IF(D639="SUP","N/A",
IF(D639="Single-choice",H639,
IF(D639="Single-choice w/ correct",H639,
IF(D639="Series", LEFT(H639,FIND("_",H639)-1) &amp; "_" &amp; MID(H639,FIND("_",H639,FIND("_",H639)+1)+1,999)
)))))</f>
        <v>N/A</v>
      </c>
      <c r="D639" s="6" t="s">
        <v>438</v>
      </c>
      <c r="E639" s="7" t="str">
        <f aca="false">IF(D639="PRE","N/A", 
IF(D639="SUP",I639, 
IF(D639="Single-choice",I639, 
IF(D639="Single-choice w/ correct",I639, 
IF(D639="Series", LEFT(I639, FIND("    ",I639)
))))))</f>
        <v>Party</v>
      </c>
      <c r="F639" s="8" t="str">
        <f aca="false">IF(D639="PRE",I639,
IF(D639="SUP",I639,
IF(D639="Single-choice","N/A",
IF(D639="Single-choice w/ correct","N/A",
IF(D639="Series", RIGHT(I639, LEN(I639) - FIND("    ",I639)-3
))))))</f>
        <v>Party</v>
      </c>
      <c r="G639" s="6" t="s">
        <v>16</v>
      </c>
      <c r="H639" s="10" t="s">
        <v>566</v>
      </c>
      <c r="I639" s="9" t="s">
        <v>567</v>
      </c>
      <c r="J639" s="10" t="n">
        <v>3</v>
      </c>
      <c r="K639" s="10" t="s">
        <v>570</v>
      </c>
    </row>
    <row r="640" customFormat="false" ht="15" hidden="false" customHeight="false" outlineLevel="0" collapsed="false">
      <c r="A640" s="1" t="s">
        <v>13</v>
      </c>
      <c r="B640" s="1" t="s">
        <v>437</v>
      </c>
      <c r="C640" s="1" t="str">
        <f aca="false">IF(D640="PRE","N/A",
IF(D640="SUP","N/A",
IF(D640="Single-choice",H640,
IF(D640="Single-choice w/ correct",H640,
IF(D640="Series", LEFT(H640,FIND("_",H640)-1) &amp; "_" &amp; MID(H640,FIND("_",H640,FIND("_",H640)+1)+1,999)
)))))</f>
        <v>N/A</v>
      </c>
      <c r="D640" s="6" t="s">
        <v>438</v>
      </c>
      <c r="E640" s="7" t="str">
        <f aca="false">IF(D640="PRE","N/A", 
IF(D640="SUP",I640, 
IF(D640="Single-choice",I640, 
IF(D640="Single-choice w/ correct",I640, 
IF(D640="Series", LEFT(I640, FIND("    ",I640)
))))))</f>
        <v>Party</v>
      </c>
      <c r="F640" s="8" t="str">
        <f aca="false">IF(D640="PRE",I640,
IF(D640="SUP",I640,
IF(D640="Single-choice","N/A",
IF(D640="Single-choice w/ correct","N/A",
IF(D640="Series", RIGHT(I640, LEN(I640) - FIND("    ",I640)-3
))))))</f>
        <v>Party</v>
      </c>
      <c r="G640" s="6" t="s">
        <v>16</v>
      </c>
      <c r="H640" s="10" t="s">
        <v>566</v>
      </c>
      <c r="I640" s="9" t="s">
        <v>567</v>
      </c>
      <c r="J640" s="10" t="n">
        <v>4</v>
      </c>
      <c r="K640" s="10" t="s">
        <v>571</v>
      </c>
    </row>
    <row r="641" customFormat="false" ht="15" hidden="false" customHeight="false" outlineLevel="0" collapsed="false">
      <c r="A641" s="1" t="s">
        <v>13</v>
      </c>
      <c r="B641" s="1" t="s">
        <v>437</v>
      </c>
      <c r="C641" s="1" t="str">
        <f aca="false">IF(D641="PRE","N/A",
IF(D641="SUP","N/A",
IF(D641="Single-choice",H641,
IF(D641="Single-choice w/ correct",H641,
IF(D641="Series", LEFT(H641,FIND("_",H641)-1) &amp; "_" &amp; MID(H641,FIND("_",H641,FIND("_",H641)+1)+1,999)
)))))</f>
        <v>N/A</v>
      </c>
      <c r="D641" s="6" t="s">
        <v>438</v>
      </c>
      <c r="E641" s="7" t="str">
        <f aca="false">IF(D641="PRE","N/A", 
IF(D641="SUP",I641, 
IF(D641="Single-choice",I641, 
IF(D641="Single-choice w/ correct",I641, 
IF(D641="Series", LEFT(I641, FIND("    ",I641)
))))))</f>
        <v>Party</v>
      </c>
      <c r="F641" s="8" t="str">
        <f aca="false">IF(D641="PRE",I641,
IF(D641="SUP",I641,
IF(D641="Single-choice","N/A",
IF(D641="Single-choice w/ correct","N/A",
IF(D641="Series", RIGHT(I641, LEN(I641) - FIND("    ",I641)-3
))))))</f>
        <v>Party</v>
      </c>
      <c r="G641" s="6" t="s">
        <v>16</v>
      </c>
      <c r="H641" s="10" t="s">
        <v>566</v>
      </c>
      <c r="I641" s="9" t="s">
        <v>567</v>
      </c>
      <c r="J641" s="10" t="n">
        <v>99</v>
      </c>
      <c r="K641" s="10" t="s">
        <v>64</v>
      </c>
    </row>
    <row r="642" customFormat="false" ht="15" hidden="false" customHeight="true" outlineLevel="0" collapsed="false">
      <c r="A642" s="1" t="s">
        <v>13</v>
      </c>
      <c r="B642" s="1" t="s">
        <v>437</v>
      </c>
      <c r="C642" s="1" t="str">
        <f aca="false">IF(D642="PRE","N/A",
IF(D642="SUP","N/A",
IF(D642="Single-choice",H642,
IF(D642="Single-choice w/ correct",H642,
IF(D642="Series", LEFT(H642,FIND("_",H642)-1) &amp; "_" &amp; MID(H642,FIND("_",H642,FIND("_",H642)+1)+1,999)
)))))</f>
        <v>N/A</v>
      </c>
      <c r="D642" s="6" t="s">
        <v>438</v>
      </c>
      <c r="E642" s="7" t="str">
        <f aca="false">IF(D642="PRE","N/A", 
IF(D642="SUP",I642, 
IF(D642="Single-choice",I642, 
IF(D642="Single-choice w/ correct",I642, 
IF(D642="Series", LEFT(I642, FIND("    ",I642)
))))))</f>
        <v>Party lean</v>
      </c>
      <c r="F642" s="8" t="str">
        <f aca="false">IF(D642="PRE",I642,
IF(D642="SUP",I642,
IF(D642="Single-choice","N/A",
IF(D642="Single-choice w/ correct","N/A",
IF(D642="Series", RIGHT(I642, LEN(I642) - FIND("    ",I642)-3
))))))</f>
        <v>Party lean</v>
      </c>
      <c r="G642" s="6" t="s">
        <v>16</v>
      </c>
      <c r="H642" s="6" t="s">
        <v>572</v>
      </c>
      <c r="I642" s="9" t="s">
        <v>573</v>
      </c>
      <c r="J642" s="6" t="n">
        <v>1</v>
      </c>
      <c r="K642" s="6" t="s">
        <v>574</v>
      </c>
    </row>
    <row r="643" customFormat="false" ht="15" hidden="false" customHeight="false" outlineLevel="0" collapsed="false">
      <c r="A643" s="1" t="s">
        <v>13</v>
      </c>
      <c r="B643" s="1" t="s">
        <v>437</v>
      </c>
      <c r="C643" s="1" t="str">
        <f aca="false">IF(D643="PRE","N/A",
IF(D643="SUP","N/A",
IF(D643="Single-choice",H643,
IF(D643="Single-choice w/ correct",H643,
IF(D643="Series", LEFT(H643,FIND("_",H643)-1) &amp; "_" &amp; MID(H643,FIND("_",H643,FIND("_",H643)+1)+1,999)
)))))</f>
        <v>N/A</v>
      </c>
      <c r="D643" s="6" t="s">
        <v>438</v>
      </c>
      <c r="E643" s="7" t="str">
        <f aca="false">IF(D643="PRE","N/A", 
IF(D643="SUP",I643, 
IF(D643="Single-choice",I643, 
IF(D643="Single-choice w/ correct",I643, 
IF(D643="Series", LEFT(I643, FIND("    ",I643)
))))))</f>
        <v>Party lean</v>
      </c>
      <c r="F643" s="8" t="str">
        <f aca="false">IF(D643="PRE",I643,
IF(D643="SUP",I643,
IF(D643="Single-choice","N/A",
IF(D643="Single-choice w/ correct","N/A",
IF(D643="Series", RIGHT(I643, LEN(I643) - FIND("    ",I643)-3
))))))</f>
        <v>Party lean</v>
      </c>
      <c r="G643" s="6" t="s">
        <v>16</v>
      </c>
      <c r="H643" s="10" t="s">
        <v>572</v>
      </c>
      <c r="I643" s="9" t="s">
        <v>573</v>
      </c>
      <c r="J643" s="10" t="n">
        <v>2</v>
      </c>
      <c r="K643" s="10" t="s">
        <v>575</v>
      </c>
    </row>
    <row r="644" customFormat="false" ht="15" hidden="false" customHeight="false" outlineLevel="0" collapsed="false">
      <c r="A644" s="1" t="s">
        <v>13</v>
      </c>
      <c r="B644" s="1" t="s">
        <v>437</v>
      </c>
      <c r="C644" s="1" t="str">
        <f aca="false">IF(D644="PRE","N/A",
IF(D644="SUP","N/A",
IF(D644="Single-choice",H644,
IF(D644="Single-choice w/ correct",H644,
IF(D644="Series", LEFT(H644,FIND("_",H644)-1) &amp; "_" &amp; MID(H644,FIND("_",H644,FIND("_",H644)+1)+1,999)
)))))</f>
        <v>N/A</v>
      </c>
      <c r="D644" s="6" t="s">
        <v>438</v>
      </c>
      <c r="E644" s="7" t="str">
        <f aca="false">IF(D644="PRE","N/A", 
IF(D644="SUP",I644, 
IF(D644="Single-choice",I644, 
IF(D644="Single-choice w/ correct",I644, 
IF(D644="Series", LEFT(I644, FIND("    ",I644)
))))))</f>
        <v>Party lean</v>
      </c>
      <c r="F644" s="8" t="str">
        <f aca="false">IF(D644="PRE",I644,
IF(D644="SUP",I644,
IF(D644="Single-choice","N/A",
IF(D644="Single-choice w/ correct","N/A",
IF(D644="Series", RIGHT(I644, LEN(I644) - FIND("    ",I644)-3
))))))</f>
        <v>Party lean</v>
      </c>
      <c r="G644" s="6" t="s">
        <v>16</v>
      </c>
      <c r="H644" s="10" t="s">
        <v>572</v>
      </c>
      <c r="I644" s="9" t="s">
        <v>573</v>
      </c>
      <c r="J644" s="10" t="n">
        <v>99</v>
      </c>
      <c r="K644" s="10" t="s">
        <v>64</v>
      </c>
    </row>
    <row r="645" customFormat="false" ht="15" hidden="false" customHeight="true" outlineLevel="0" collapsed="false">
      <c r="A645" s="1" t="s">
        <v>13</v>
      </c>
      <c r="B645" s="1" t="s">
        <v>437</v>
      </c>
      <c r="C645" s="1" t="str">
        <f aca="false">IF(D645="PRE","N/A",
IF(D645="SUP","N/A",
IF(D645="Single-choice",H645,
IF(D645="Single-choice w/ correct",H645,
IF(D645="Series", LEFT(H645,FIND("_",H645)-1) &amp; "_" &amp; MID(H645,FIND("_",H645,FIND("_",H645)+1)+1,999)
)))))</f>
        <v>N/A</v>
      </c>
      <c r="D645" s="6" t="s">
        <v>438</v>
      </c>
      <c r="E645" s="7" t="str">
        <f aca="false">IF(D645="PRE","N/A", 
IF(D645="SUP",I645, 
IF(D645="Single-choice",I645, 
IF(D645="Single-choice w/ correct",I645, 
IF(D645="Series", LEFT(I645, FIND("    ",I645)
))))))</f>
        <v>Party summary</v>
      </c>
      <c r="F645" s="8" t="str">
        <f aca="false">IF(D645="PRE",I645,
IF(D645="SUP",I645,
IF(D645="Single-choice","N/A",
IF(D645="Single-choice w/ correct","N/A",
IF(D645="Series", RIGHT(I645, LEN(I645) - FIND("    ",I645)-3
))))))</f>
        <v>Party summary</v>
      </c>
      <c r="G645" s="6" t="s">
        <v>16</v>
      </c>
      <c r="H645" s="6" t="s">
        <v>576</v>
      </c>
      <c r="I645" s="9" t="s">
        <v>577</v>
      </c>
      <c r="J645" s="6" t="n">
        <v>1</v>
      </c>
      <c r="K645" s="6" t="s">
        <v>578</v>
      </c>
    </row>
    <row r="646" customFormat="false" ht="15" hidden="false" customHeight="false" outlineLevel="0" collapsed="false">
      <c r="A646" s="1" t="s">
        <v>13</v>
      </c>
      <c r="B646" s="1" t="s">
        <v>437</v>
      </c>
      <c r="C646" s="1" t="str">
        <f aca="false">IF(D646="PRE","N/A",
IF(D646="SUP","N/A",
IF(D646="Single-choice",H646,
IF(D646="Single-choice w/ correct",H646,
IF(D646="Series", LEFT(H646,FIND("_",H646)-1) &amp; "_" &amp; MID(H646,FIND("_",H646,FIND("_",H646)+1)+1,999)
)))))</f>
        <v>N/A</v>
      </c>
      <c r="D646" s="6" t="s">
        <v>438</v>
      </c>
      <c r="E646" s="7" t="str">
        <f aca="false">IF(D646="PRE","N/A", 
IF(D646="SUP",I646, 
IF(D646="Single-choice",I646, 
IF(D646="Single-choice w/ correct",I646, 
IF(D646="Series", LEFT(I646, FIND("    ",I646)
))))))</f>
        <v>Party summary</v>
      </c>
      <c r="F646" s="8" t="str">
        <f aca="false">IF(D646="PRE",I646,
IF(D646="SUP",I646,
IF(D646="Single-choice","N/A",
IF(D646="Single-choice w/ correct","N/A",
IF(D646="Series", RIGHT(I646, LEN(I646) - FIND("    ",I646)-3
))))))</f>
        <v>Party summary</v>
      </c>
      <c r="G646" s="6" t="s">
        <v>16</v>
      </c>
      <c r="H646" s="10" t="s">
        <v>576</v>
      </c>
      <c r="I646" s="9" t="s">
        <v>577</v>
      </c>
      <c r="J646" s="10" t="n">
        <v>2</v>
      </c>
      <c r="K646" s="10" t="s">
        <v>579</v>
      </c>
    </row>
    <row r="647" customFormat="false" ht="15" hidden="false" customHeight="false" outlineLevel="0" collapsed="false">
      <c r="A647" s="1" t="s">
        <v>13</v>
      </c>
      <c r="B647" s="1" t="s">
        <v>437</v>
      </c>
      <c r="C647" s="1" t="str">
        <f aca="false">IF(D647="PRE","N/A",
IF(D647="SUP","N/A",
IF(D647="Single-choice",H647,
IF(D647="Single-choice w/ correct",H647,
IF(D647="Series", LEFT(H647,FIND("_",H647)-1) &amp; "_" &amp; MID(H647,FIND("_",H647,FIND("_",H647)+1)+1,999)
)))))</f>
        <v>N/A</v>
      </c>
      <c r="D647" s="6" t="s">
        <v>438</v>
      </c>
      <c r="E647" s="7" t="str">
        <f aca="false">IF(D647="PRE","N/A", 
IF(D647="SUP",I647, 
IF(D647="Single-choice",I647, 
IF(D647="Single-choice w/ correct",I647, 
IF(D647="Series", LEFT(I647, FIND("    ",I647)
))))))</f>
        <v>Party summary</v>
      </c>
      <c r="F647" s="8" t="str">
        <f aca="false">IF(D647="PRE",I647,
IF(D647="SUP",I647,
IF(D647="Single-choice","N/A",
IF(D647="Single-choice w/ correct","N/A",
IF(D647="Series", RIGHT(I647, LEN(I647) - FIND("    ",I647)-3
))))))</f>
        <v>Party summary</v>
      </c>
      <c r="G647" s="6" t="s">
        <v>16</v>
      </c>
      <c r="H647" s="10" t="s">
        <v>576</v>
      </c>
      <c r="I647" s="9" t="s">
        <v>577</v>
      </c>
      <c r="J647" s="10" t="n">
        <v>9</v>
      </c>
      <c r="K647" s="10" t="s">
        <v>580</v>
      </c>
    </row>
    <row r="648" customFormat="false" ht="15" hidden="false" customHeight="true" outlineLevel="0" collapsed="false">
      <c r="A648" s="1" t="s">
        <v>13</v>
      </c>
      <c r="B648" s="1" t="s">
        <v>437</v>
      </c>
      <c r="C648" s="1" t="str">
        <f aca="false">IF(D648="PRE","N/A",
IF(D648="SUP","N/A",
IF(D648="Single-choice",H648,
IF(D648="Single-choice w/ correct",H648,
IF(D648="Series", LEFT(H648,FIND("_",H648)-1) &amp; "_" &amp; MID(H648,FIND("_",H648,FIND("_",H648)+1)+1,999)
)))))</f>
        <v>N/A</v>
      </c>
      <c r="D648" s="6" t="s">
        <v>438</v>
      </c>
      <c r="E648" s="7" t="str">
        <f aca="false">IF(D648="PRE","N/A", 
IF(D648="SUP",I648, 
IF(D648="Single-choice",I648, 
IF(D648="Single-choice w/ correct",I648, 
IF(D648="Series", LEFT(I648, FIND("    ",I648)
))))))</f>
        <v>Combining ideology and party identification</v>
      </c>
      <c r="F648" s="8" t="str">
        <f aca="false">IF(D648="PRE",I648,
IF(D648="SUP",I648,
IF(D648="Single-choice","N/A",
IF(D648="Single-choice w/ correct","N/A",
IF(D648="Series", RIGHT(I648, LEN(I648) - FIND("    ",I648)-3
))))))</f>
        <v>Combining ideology and party identification</v>
      </c>
      <c r="G648" s="6" t="s">
        <v>16</v>
      </c>
      <c r="H648" s="6" t="s">
        <v>581</v>
      </c>
      <c r="I648" s="9" t="s">
        <v>582</v>
      </c>
      <c r="J648" s="6" t="n">
        <v>1</v>
      </c>
      <c r="K648" s="6" t="s">
        <v>583</v>
      </c>
    </row>
    <row r="649" customFormat="false" ht="15" hidden="false" customHeight="false" outlineLevel="0" collapsed="false">
      <c r="A649" s="1" t="s">
        <v>13</v>
      </c>
      <c r="B649" s="1" t="s">
        <v>437</v>
      </c>
      <c r="C649" s="1" t="str">
        <f aca="false">IF(D649="PRE","N/A",
IF(D649="SUP","N/A",
IF(D649="Single-choice",H649,
IF(D649="Single-choice w/ correct",H649,
IF(D649="Series", LEFT(H649,FIND("_",H649)-1) &amp; "_" &amp; MID(H649,FIND("_",H649,FIND("_",H649)+1)+1,999)
)))))</f>
        <v>N/A</v>
      </c>
      <c r="D649" s="6" t="s">
        <v>438</v>
      </c>
      <c r="E649" s="7" t="str">
        <f aca="false">IF(D649="PRE","N/A", 
IF(D649="SUP",I649, 
IF(D649="Single-choice",I649, 
IF(D649="Single-choice w/ correct",I649, 
IF(D649="Series", LEFT(I649, FIND("    ",I649)
))))))</f>
        <v>Combining ideology and party identification</v>
      </c>
      <c r="F649" s="8" t="str">
        <f aca="false">IF(D649="PRE",I649,
IF(D649="SUP",I649,
IF(D649="Single-choice","N/A",
IF(D649="Single-choice w/ correct","N/A",
IF(D649="Series", RIGHT(I649, LEN(I649) - FIND("    ",I649)-3
))))))</f>
        <v>Combining ideology and party identification</v>
      </c>
      <c r="G649" s="6" t="s">
        <v>16</v>
      </c>
      <c r="H649" s="10" t="s">
        <v>581</v>
      </c>
      <c r="I649" s="9" t="s">
        <v>582</v>
      </c>
      <c r="J649" s="10" t="n">
        <v>2</v>
      </c>
      <c r="K649" s="10" t="s">
        <v>584</v>
      </c>
    </row>
    <row r="650" customFormat="false" ht="15" hidden="false" customHeight="false" outlineLevel="0" collapsed="false">
      <c r="A650" s="1" t="s">
        <v>13</v>
      </c>
      <c r="B650" s="1" t="s">
        <v>437</v>
      </c>
      <c r="C650" s="1" t="str">
        <f aca="false">IF(D650="PRE","N/A",
IF(D650="SUP","N/A",
IF(D650="Single-choice",H650,
IF(D650="Single-choice w/ correct",H650,
IF(D650="Series", LEFT(H650,FIND("_",H650)-1) &amp; "_" &amp; MID(H650,FIND("_",H650,FIND("_",H650)+1)+1,999)
)))))</f>
        <v>N/A</v>
      </c>
      <c r="D650" s="6" t="s">
        <v>438</v>
      </c>
      <c r="E650" s="7" t="str">
        <f aca="false">IF(D650="PRE","N/A", 
IF(D650="SUP",I650, 
IF(D650="Single-choice",I650, 
IF(D650="Single-choice w/ correct",I650, 
IF(D650="Series", LEFT(I650, FIND("    ",I650)
))))))</f>
        <v>Combining ideology and party identification</v>
      </c>
      <c r="F650" s="8" t="str">
        <f aca="false">IF(D650="PRE",I650,
IF(D650="SUP",I650,
IF(D650="Single-choice","N/A",
IF(D650="Single-choice w/ correct","N/A",
IF(D650="Series", RIGHT(I650, LEN(I650) - FIND("    ",I650)-3
))))))</f>
        <v>Combining ideology and party identification</v>
      </c>
      <c r="G650" s="6" t="s">
        <v>16</v>
      </c>
      <c r="H650" s="10" t="s">
        <v>581</v>
      </c>
      <c r="I650" s="9" t="s">
        <v>582</v>
      </c>
      <c r="J650" s="10" t="n">
        <v>3</v>
      </c>
      <c r="K650" s="10" t="s">
        <v>585</v>
      </c>
    </row>
    <row r="651" customFormat="false" ht="15" hidden="false" customHeight="false" outlineLevel="0" collapsed="false">
      <c r="A651" s="1" t="s">
        <v>13</v>
      </c>
      <c r="B651" s="1" t="s">
        <v>437</v>
      </c>
      <c r="C651" s="1" t="str">
        <f aca="false">IF(D651="PRE","N/A",
IF(D651="SUP","N/A",
IF(D651="Single-choice",H651,
IF(D651="Single-choice w/ correct",H651,
IF(D651="Series", LEFT(H651,FIND("_",H651)-1) &amp; "_" &amp; MID(H651,FIND("_",H651,FIND("_",H651)+1)+1,999)
)))))</f>
        <v>N/A</v>
      </c>
      <c r="D651" s="6" t="s">
        <v>438</v>
      </c>
      <c r="E651" s="7" t="str">
        <f aca="false">IF(D651="PRE","N/A", 
IF(D651="SUP",I651, 
IF(D651="Single-choice",I651, 
IF(D651="Single-choice w/ correct",I651, 
IF(D651="Series", LEFT(I651, FIND("    ",I651)
))))))</f>
        <v>Combining ideology and party identification</v>
      </c>
      <c r="F651" s="8" t="str">
        <f aca="false">IF(D651="PRE",I651,
IF(D651="SUP",I651,
IF(D651="Single-choice","N/A",
IF(D651="Single-choice w/ correct","N/A",
IF(D651="Series", RIGHT(I651, LEN(I651) - FIND("    ",I651)-3
))))))</f>
        <v>Combining ideology and party identification</v>
      </c>
      <c r="G651" s="6" t="s">
        <v>16</v>
      </c>
      <c r="H651" s="10" t="s">
        <v>581</v>
      </c>
      <c r="I651" s="9" t="s">
        <v>582</v>
      </c>
      <c r="J651" s="10" t="n">
        <v>4</v>
      </c>
      <c r="K651" s="10" t="s">
        <v>586</v>
      </c>
    </row>
    <row r="652" customFormat="false" ht="15" hidden="false" customHeight="false" outlineLevel="0" collapsed="false">
      <c r="A652" s="1" t="s">
        <v>13</v>
      </c>
      <c r="B652" s="1" t="s">
        <v>437</v>
      </c>
      <c r="C652" s="1" t="str">
        <f aca="false">IF(D652="PRE","N/A",
IF(D652="SUP","N/A",
IF(D652="Single-choice",H652,
IF(D652="Single-choice w/ correct",H652,
IF(D652="Series", LEFT(H652,FIND("_",H652)-1) &amp; "_" &amp; MID(H652,FIND("_",H652,FIND("_",H652)+1)+1,999)
)))))</f>
        <v>N/A</v>
      </c>
      <c r="D652" s="6" t="s">
        <v>438</v>
      </c>
      <c r="E652" s="7" t="str">
        <f aca="false">IF(D652="PRE","N/A", 
IF(D652="SUP",I652, 
IF(D652="Single-choice",I652, 
IF(D652="Single-choice w/ correct",I652, 
IF(D652="Series", LEFT(I652, FIND("    ",I652)
))))))</f>
        <v>Combining ideology and party identification</v>
      </c>
      <c r="F652" s="8" t="str">
        <f aca="false">IF(D652="PRE",I652,
IF(D652="SUP",I652,
IF(D652="Single-choice","N/A",
IF(D652="Single-choice w/ correct","N/A",
IF(D652="Series", RIGHT(I652, LEN(I652) - FIND("    ",I652)-3
))))))</f>
        <v>Combining ideology and party identification</v>
      </c>
      <c r="G652" s="6" t="s">
        <v>16</v>
      </c>
      <c r="H652" s="10" t="s">
        <v>581</v>
      </c>
      <c r="I652" s="9" t="s">
        <v>582</v>
      </c>
      <c r="J652" s="10" t="n">
        <v>9</v>
      </c>
      <c r="K652" s="10" t="s">
        <v>587</v>
      </c>
    </row>
    <row r="653" customFormat="false" ht="15" hidden="false" customHeight="true" outlineLevel="0" collapsed="false">
      <c r="A653" s="1" t="s">
        <v>13</v>
      </c>
      <c r="B653" s="1" t="s">
        <v>437</v>
      </c>
      <c r="C653" s="1" t="str">
        <f aca="false">IF(D653="PRE","N/A",
IF(D653="SUP","N/A",
IF(D653="Single-choice",H653,
IF(D653="Single-choice w/ correct",H653,
IF(D653="Series", LEFT(H653,FIND("_",H653)-1) &amp; "_" &amp; MID(H653,FIND("_",H653,FIND("_",H653)+1)+1,999)
)))))</f>
        <v>N/A</v>
      </c>
      <c r="D653" s="6" t="s">
        <v>438</v>
      </c>
      <c r="E653" s="7" t="str">
        <f aca="false">IF(D653="PRE","N/A", 
IF(D653="SUP",I653, 
IF(D653="Single-choice",I653, 
IF(D653="Single-choice w/ correct",I653, 
IF(D653="Series", LEFT(I653, FIND("    ",I653)
))))))</f>
        <v>REG.   Voter registration</v>
      </c>
      <c r="F653" s="8" t="str">
        <f aca="false">IF(D653="PRE",I653,
IF(D653="SUP",I653,
IF(D653="Single-choice","N/A",
IF(D653="Single-choice w/ correct","N/A",
IF(D653="Series", RIGHT(I653, LEN(I653) - FIND("    ",I653)-3
))))))</f>
        <v>REG.   Voter registration</v>
      </c>
      <c r="G653" s="6" t="s">
        <v>16</v>
      </c>
      <c r="H653" s="6" t="s">
        <v>588</v>
      </c>
      <c r="I653" s="9" t="s">
        <v>589</v>
      </c>
      <c r="J653" s="6" t="n">
        <v>1</v>
      </c>
      <c r="K653" s="6" t="s">
        <v>590</v>
      </c>
    </row>
    <row r="654" customFormat="false" ht="15" hidden="false" customHeight="false" outlineLevel="0" collapsed="false">
      <c r="A654" s="1" t="s">
        <v>13</v>
      </c>
      <c r="B654" s="1" t="s">
        <v>437</v>
      </c>
      <c r="C654" s="1" t="str">
        <f aca="false">IF(D654="PRE","N/A",
IF(D654="SUP","N/A",
IF(D654="Single-choice",H654,
IF(D654="Single-choice w/ correct",H654,
IF(D654="Series", LEFT(H654,FIND("_",H654)-1) &amp; "_" &amp; MID(H654,FIND("_",H654,FIND("_",H654)+1)+1,999)
)))))</f>
        <v>N/A</v>
      </c>
      <c r="D654" s="6" t="s">
        <v>438</v>
      </c>
      <c r="E654" s="7" t="str">
        <f aca="false">IF(D654="PRE","N/A", 
IF(D654="SUP",I654, 
IF(D654="Single-choice",I654, 
IF(D654="Single-choice w/ correct",I654, 
IF(D654="Series", LEFT(I654, FIND("    ",I654)
))))))</f>
        <v>REG.   Voter registration</v>
      </c>
      <c r="F654" s="8" t="str">
        <f aca="false">IF(D654="PRE",I654,
IF(D654="SUP",I654,
IF(D654="Single-choice","N/A",
IF(D654="Single-choice w/ correct","N/A",
IF(D654="Series", RIGHT(I654, LEN(I654) - FIND("    ",I654)-3
))))))</f>
        <v>REG.   Voter registration</v>
      </c>
      <c r="G654" s="6" t="s">
        <v>16</v>
      </c>
      <c r="H654" s="10" t="s">
        <v>588</v>
      </c>
      <c r="I654" s="9" t="s">
        <v>589</v>
      </c>
      <c r="J654" s="10" t="n">
        <v>2</v>
      </c>
      <c r="K654" s="10" t="s">
        <v>591</v>
      </c>
    </row>
    <row r="655" customFormat="false" ht="15" hidden="false" customHeight="false" outlineLevel="0" collapsed="false">
      <c r="A655" s="1" t="s">
        <v>13</v>
      </c>
      <c r="B655" s="1" t="s">
        <v>437</v>
      </c>
      <c r="C655" s="1" t="str">
        <f aca="false">IF(D655="PRE","N/A",
IF(D655="SUP","N/A",
IF(D655="Single-choice",H655,
IF(D655="Single-choice w/ correct",H655,
IF(D655="Series", LEFT(H655,FIND("_",H655)-1) &amp; "_" &amp; MID(H655,FIND("_",H655,FIND("_",H655)+1)+1,999)
)))))</f>
        <v>N/A</v>
      </c>
      <c r="D655" s="6" t="s">
        <v>438</v>
      </c>
      <c r="E655" s="7" t="str">
        <f aca="false">IF(D655="PRE","N/A", 
IF(D655="SUP",I655, 
IF(D655="Single-choice",I655, 
IF(D655="Single-choice w/ correct",I655, 
IF(D655="Series", LEFT(I655, FIND("    ",I655)
))))))</f>
        <v>REG.   Voter registration</v>
      </c>
      <c r="F655" s="8" t="str">
        <f aca="false">IF(D655="PRE",I655,
IF(D655="SUP",I655,
IF(D655="Single-choice","N/A",
IF(D655="Single-choice w/ correct","N/A",
IF(D655="Series", RIGHT(I655, LEN(I655) - FIND("    ",I655)-3
))))))</f>
        <v>REG.   Voter registration</v>
      </c>
      <c r="G655" s="6" t="s">
        <v>16</v>
      </c>
      <c r="H655" s="10" t="s">
        <v>588</v>
      </c>
      <c r="I655" s="9" t="s">
        <v>589</v>
      </c>
      <c r="J655" s="10" t="n">
        <v>3</v>
      </c>
      <c r="K655" s="10" t="s">
        <v>592</v>
      </c>
    </row>
    <row r="656" customFormat="false" ht="15" hidden="false" customHeight="false" outlineLevel="0" collapsed="false">
      <c r="A656" s="1" t="s">
        <v>13</v>
      </c>
      <c r="B656" s="1" t="s">
        <v>437</v>
      </c>
      <c r="C656" s="1" t="str">
        <f aca="false">IF(D656="PRE","N/A",
IF(D656="SUP","N/A",
IF(D656="Single-choice",H656,
IF(D656="Single-choice w/ correct",H656,
IF(D656="Series", LEFT(H656,FIND("_",H656)-1) &amp; "_" &amp; MID(H656,FIND("_",H656,FIND("_",H656)+1)+1,999)
)))))</f>
        <v>N/A</v>
      </c>
      <c r="D656" s="6" t="s">
        <v>438</v>
      </c>
      <c r="E656" s="7" t="str">
        <f aca="false">IF(D656="PRE","N/A", 
IF(D656="SUP",I656, 
IF(D656="Single-choice",I656, 
IF(D656="Single-choice w/ correct",I656, 
IF(D656="Series", LEFT(I656, FIND("    ",I656)
))))))</f>
        <v>REG.   Voter registration</v>
      </c>
      <c r="F656" s="8" t="str">
        <f aca="false">IF(D656="PRE",I656,
IF(D656="SUP",I656,
IF(D656="Single-choice","N/A",
IF(D656="Single-choice w/ correct","N/A",
IF(D656="Series", RIGHT(I656, LEN(I656) - FIND("    ",I656)-3
))))))</f>
        <v>REG.   Voter registration</v>
      </c>
      <c r="G656" s="6" t="s">
        <v>16</v>
      </c>
      <c r="H656" s="10" t="s">
        <v>588</v>
      </c>
      <c r="I656" s="9" t="s">
        <v>589</v>
      </c>
      <c r="J656" s="10" t="n">
        <v>99</v>
      </c>
      <c r="K656" s="10" t="s">
        <v>64</v>
      </c>
    </row>
    <row r="657" customFormat="false" ht="15" hidden="false" customHeight="true" outlineLevel="0" collapsed="false">
      <c r="A657" s="1" t="s">
        <v>13</v>
      </c>
      <c r="B657" s="1" t="s">
        <v>437</v>
      </c>
      <c r="C657" s="1" t="str">
        <f aca="false">IF(D657="PRE","N/A",
IF(D657="SUP","N/A",
IF(D657="Single-choice",H657,
IF(D657="Single-choice w/ correct",H657,
IF(D657="Series", LEFT(H657,FIND("_",H657)-1) &amp; "_" &amp; MID(H657,FIND("_",H657,FIND("_",H657)+1)+1,999)
)))))</f>
        <v>N/A</v>
      </c>
      <c r="D657" s="6" t="s">
        <v>438</v>
      </c>
      <c r="E657" s="7" t="str">
        <f aca="false">IF(D657="PRE","N/A", 
IF(D657="SUP",I657, 
IF(D657="Single-choice",I657, 
IF(D657="Single-choice w/ correct",I657, 
IF(D657="Series", LEFT(I657, FIND("    ",I657)
))))))</f>
        <v>Family income</v>
      </c>
      <c r="F657" s="8" t="str">
        <f aca="false">IF(D657="PRE",I657,
IF(D657="SUP",I657,
IF(D657="Single-choice","N/A",
IF(D657="Single-choice w/ correct","N/A",
IF(D657="Series", RIGHT(I657, LEN(I657) - FIND("    ",I657)-3
))))))</f>
        <v>Family income</v>
      </c>
      <c r="G657" s="6" t="s">
        <v>16</v>
      </c>
      <c r="H657" s="6" t="s">
        <v>593</v>
      </c>
      <c r="I657" s="9" t="s">
        <v>594</v>
      </c>
      <c r="J657" s="6" t="n">
        <v>1</v>
      </c>
      <c r="K657" s="6" t="s">
        <v>595</v>
      </c>
    </row>
    <row r="658" customFormat="false" ht="15" hidden="false" customHeight="false" outlineLevel="0" collapsed="false">
      <c r="A658" s="1" t="s">
        <v>13</v>
      </c>
      <c r="B658" s="1" t="s">
        <v>437</v>
      </c>
      <c r="C658" s="1" t="str">
        <f aca="false">IF(D658="PRE","N/A",
IF(D658="SUP","N/A",
IF(D658="Single-choice",H658,
IF(D658="Single-choice w/ correct",H658,
IF(D658="Series", LEFT(H658,FIND("_",H658)-1) &amp; "_" &amp; MID(H658,FIND("_",H658,FIND("_",H658)+1)+1,999)
)))))</f>
        <v>N/A</v>
      </c>
      <c r="D658" s="6" t="s">
        <v>438</v>
      </c>
      <c r="E658" s="7" t="str">
        <f aca="false">IF(D658="PRE","N/A", 
IF(D658="SUP",I658, 
IF(D658="Single-choice",I658, 
IF(D658="Single-choice w/ correct",I658, 
IF(D658="Series", LEFT(I658, FIND("    ",I658)
))))))</f>
        <v>Family income</v>
      </c>
      <c r="F658" s="8" t="str">
        <f aca="false">IF(D658="PRE",I658,
IF(D658="SUP",I658,
IF(D658="Single-choice","N/A",
IF(D658="Single-choice w/ correct","N/A",
IF(D658="Series", RIGHT(I658, LEN(I658) - FIND("    ",I658)-3
))))))</f>
        <v>Family income</v>
      </c>
      <c r="G658" s="6" t="s">
        <v>16</v>
      </c>
      <c r="H658" s="10" t="s">
        <v>593</v>
      </c>
      <c r="I658" s="9" t="s">
        <v>594</v>
      </c>
      <c r="J658" s="10" t="n">
        <v>2</v>
      </c>
      <c r="K658" s="10" t="s">
        <v>596</v>
      </c>
    </row>
    <row r="659" customFormat="false" ht="15" hidden="false" customHeight="false" outlineLevel="0" collapsed="false">
      <c r="A659" s="1" t="s">
        <v>13</v>
      </c>
      <c r="B659" s="1" t="s">
        <v>437</v>
      </c>
      <c r="C659" s="1" t="str">
        <f aca="false">IF(D659="PRE","N/A",
IF(D659="SUP","N/A",
IF(D659="Single-choice",H659,
IF(D659="Single-choice w/ correct",H659,
IF(D659="Series", LEFT(H659,FIND("_",H659)-1) &amp; "_" &amp; MID(H659,FIND("_",H659,FIND("_",H659)+1)+1,999)
)))))</f>
        <v>N/A</v>
      </c>
      <c r="D659" s="6" t="s">
        <v>438</v>
      </c>
      <c r="E659" s="7" t="str">
        <f aca="false">IF(D659="PRE","N/A", 
IF(D659="SUP",I659, 
IF(D659="Single-choice",I659, 
IF(D659="Single-choice w/ correct",I659, 
IF(D659="Series", LEFT(I659, FIND("    ",I659)
))))))</f>
        <v>Family income</v>
      </c>
      <c r="F659" s="8" t="str">
        <f aca="false">IF(D659="PRE",I659,
IF(D659="SUP",I659,
IF(D659="Single-choice","N/A",
IF(D659="Single-choice w/ correct","N/A",
IF(D659="Series", RIGHT(I659, LEN(I659) - FIND("    ",I659)-3
))))))</f>
        <v>Family income</v>
      </c>
      <c r="G659" s="6" t="s">
        <v>16</v>
      </c>
      <c r="H659" s="10" t="s">
        <v>593</v>
      </c>
      <c r="I659" s="9" t="s">
        <v>594</v>
      </c>
      <c r="J659" s="10" t="n">
        <v>3</v>
      </c>
      <c r="K659" s="10" t="s">
        <v>597</v>
      </c>
    </row>
    <row r="660" customFormat="false" ht="15" hidden="false" customHeight="false" outlineLevel="0" collapsed="false">
      <c r="A660" s="1" t="s">
        <v>13</v>
      </c>
      <c r="B660" s="1" t="s">
        <v>437</v>
      </c>
      <c r="C660" s="1" t="str">
        <f aca="false">IF(D660="PRE","N/A",
IF(D660="SUP","N/A",
IF(D660="Single-choice",H660,
IF(D660="Single-choice w/ correct",H660,
IF(D660="Series", LEFT(H660,FIND("_",H660)-1) &amp; "_" &amp; MID(H660,FIND("_",H660,FIND("_",H660)+1)+1,999)
)))))</f>
        <v>N/A</v>
      </c>
      <c r="D660" s="6" t="s">
        <v>438</v>
      </c>
      <c r="E660" s="7" t="str">
        <f aca="false">IF(D660="PRE","N/A", 
IF(D660="SUP",I660, 
IF(D660="Single-choice",I660, 
IF(D660="Single-choice w/ correct",I660, 
IF(D660="Series", LEFT(I660, FIND("    ",I660)
))))))</f>
        <v>Family income</v>
      </c>
      <c r="F660" s="8" t="str">
        <f aca="false">IF(D660="PRE",I660,
IF(D660="SUP",I660,
IF(D660="Single-choice","N/A",
IF(D660="Single-choice w/ correct","N/A",
IF(D660="Series", RIGHT(I660, LEN(I660) - FIND("    ",I660)-3
))))))</f>
        <v>Family income</v>
      </c>
      <c r="G660" s="6" t="s">
        <v>16</v>
      </c>
      <c r="H660" s="10" t="s">
        <v>593</v>
      </c>
      <c r="I660" s="9" t="s">
        <v>594</v>
      </c>
      <c r="J660" s="10" t="n">
        <v>4</v>
      </c>
      <c r="K660" s="10" t="s">
        <v>598</v>
      </c>
    </row>
    <row r="661" customFormat="false" ht="15" hidden="false" customHeight="false" outlineLevel="0" collapsed="false">
      <c r="A661" s="1" t="s">
        <v>13</v>
      </c>
      <c r="B661" s="1" t="s">
        <v>437</v>
      </c>
      <c r="C661" s="1" t="str">
        <f aca="false">IF(D661="PRE","N/A",
IF(D661="SUP","N/A",
IF(D661="Single-choice",H661,
IF(D661="Single-choice w/ correct",H661,
IF(D661="Series", LEFT(H661,FIND("_",H661)-1) &amp; "_" &amp; MID(H661,FIND("_",H661,FIND("_",H661)+1)+1,999)
)))))</f>
        <v>N/A</v>
      </c>
      <c r="D661" s="6" t="s">
        <v>438</v>
      </c>
      <c r="E661" s="7" t="str">
        <f aca="false">IF(D661="PRE","N/A", 
IF(D661="SUP",I661, 
IF(D661="Single-choice",I661, 
IF(D661="Single-choice w/ correct",I661, 
IF(D661="Series", LEFT(I661, FIND("    ",I661)
))))))</f>
        <v>Family income</v>
      </c>
      <c r="F661" s="8" t="str">
        <f aca="false">IF(D661="PRE",I661,
IF(D661="SUP",I661,
IF(D661="Single-choice","N/A",
IF(D661="Single-choice w/ correct","N/A",
IF(D661="Series", RIGHT(I661, LEN(I661) - FIND("    ",I661)-3
))))))</f>
        <v>Family income</v>
      </c>
      <c r="G661" s="6" t="s">
        <v>16</v>
      </c>
      <c r="H661" s="10" t="s">
        <v>593</v>
      </c>
      <c r="I661" s="9" t="s">
        <v>594</v>
      </c>
      <c r="J661" s="10" t="n">
        <v>5</v>
      </c>
      <c r="K661" s="10" t="s">
        <v>599</v>
      </c>
    </row>
    <row r="662" customFormat="false" ht="15" hidden="false" customHeight="false" outlineLevel="0" collapsed="false">
      <c r="A662" s="1" t="s">
        <v>13</v>
      </c>
      <c r="B662" s="1" t="s">
        <v>437</v>
      </c>
      <c r="C662" s="1" t="str">
        <f aca="false">IF(D662="PRE","N/A",
IF(D662="SUP","N/A",
IF(D662="Single-choice",H662,
IF(D662="Single-choice w/ correct",H662,
IF(D662="Series", LEFT(H662,FIND("_",H662)-1) &amp; "_" &amp; MID(H662,FIND("_",H662,FIND("_",H662)+1)+1,999)
)))))</f>
        <v>N/A</v>
      </c>
      <c r="D662" s="6" t="s">
        <v>438</v>
      </c>
      <c r="E662" s="7" t="str">
        <f aca="false">IF(D662="PRE","N/A", 
IF(D662="SUP",I662, 
IF(D662="Single-choice",I662, 
IF(D662="Single-choice w/ correct",I662, 
IF(D662="Series", LEFT(I662, FIND("    ",I662)
))))))</f>
        <v>Family income</v>
      </c>
      <c r="F662" s="8" t="str">
        <f aca="false">IF(D662="PRE",I662,
IF(D662="SUP",I662,
IF(D662="Single-choice","N/A",
IF(D662="Single-choice w/ correct","N/A",
IF(D662="Series", RIGHT(I662, LEN(I662) - FIND("    ",I662)-3
))))))</f>
        <v>Family income</v>
      </c>
      <c r="G662" s="6" t="s">
        <v>16</v>
      </c>
      <c r="H662" s="10" t="s">
        <v>593</v>
      </c>
      <c r="I662" s="9" t="s">
        <v>594</v>
      </c>
      <c r="J662" s="10" t="n">
        <v>6</v>
      </c>
      <c r="K662" s="10" t="s">
        <v>600</v>
      </c>
    </row>
    <row r="663" customFormat="false" ht="15" hidden="false" customHeight="false" outlineLevel="0" collapsed="false">
      <c r="A663" s="1" t="s">
        <v>13</v>
      </c>
      <c r="B663" s="1" t="s">
        <v>437</v>
      </c>
      <c r="C663" s="1" t="str">
        <f aca="false">IF(D663="PRE","N/A",
IF(D663="SUP","N/A",
IF(D663="Single-choice",H663,
IF(D663="Single-choice w/ correct",H663,
IF(D663="Series", LEFT(H663,FIND("_",H663)-1) &amp; "_" &amp; MID(H663,FIND("_",H663,FIND("_",H663)+1)+1,999)
)))))</f>
        <v>N/A</v>
      </c>
      <c r="D663" s="6" t="s">
        <v>438</v>
      </c>
      <c r="E663" s="7" t="str">
        <f aca="false">IF(D663="PRE","N/A", 
IF(D663="SUP",I663, 
IF(D663="Single-choice",I663, 
IF(D663="Single-choice w/ correct",I663, 
IF(D663="Series", LEFT(I663, FIND("    ",I663)
))))))</f>
        <v>Family income</v>
      </c>
      <c r="F663" s="8" t="str">
        <f aca="false">IF(D663="PRE",I663,
IF(D663="SUP",I663,
IF(D663="Single-choice","N/A",
IF(D663="Single-choice w/ correct","N/A",
IF(D663="Series", RIGHT(I663, LEN(I663) - FIND("    ",I663)-3
))))))</f>
        <v>Family income</v>
      </c>
      <c r="G663" s="6" t="s">
        <v>16</v>
      </c>
      <c r="H663" s="10" t="s">
        <v>593</v>
      </c>
      <c r="I663" s="9" t="s">
        <v>594</v>
      </c>
      <c r="J663" s="10" t="n">
        <v>7</v>
      </c>
      <c r="K663" s="10" t="s">
        <v>601</v>
      </c>
    </row>
    <row r="664" customFormat="false" ht="15" hidden="false" customHeight="false" outlineLevel="0" collapsed="false">
      <c r="A664" s="1" t="s">
        <v>13</v>
      </c>
      <c r="B664" s="1" t="s">
        <v>437</v>
      </c>
      <c r="C664" s="1" t="str">
        <f aca="false">IF(D664="PRE","N/A",
IF(D664="SUP","N/A",
IF(D664="Single-choice",H664,
IF(D664="Single-choice w/ correct",H664,
IF(D664="Series", LEFT(H664,FIND("_",H664)-1) &amp; "_" &amp; MID(H664,FIND("_",H664,FIND("_",H664)+1)+1,999)
)))))</f>
        <v>N/A</v>
      </c>
      <c r="D664" s="6" t="s">
        <v>438</v>
      </c>
      <c r="E664" s="7" t="str">
        <f aca="false">IF(D664="PRE","N/A", 
IF(D664="SUP",I664, 
IF(D664="Single-choice",I664, 
IF(D664="Single-choice w/ correct",I664, 
IF(D664="Series", LEFT(I664, FIND("    ",I664)
))))))</f>
        <v>Family income</v>
      </c>
      <c r="F664" s="8" t="str">
        <f aca="false">IF(D664="PRE",I664,
IF(D664="SUP",I664,
IF(D664="Single-choice","N/A",
IF(D664="Single-choice w/ correct","N/A",
IF(D664="Series", RIGHT(I664, LEN(I664) - FIND("    ",I664)-3
))))))</f>
        <v>Family income</v>
      </c>
      <c r="G664" s="6" t="s">
        <v>16</v>
      </c>
      <c r="H664" s="10" t="s">
        <v>593</v>
      </c>
      <c r="I664" s="9" t="s">
        <v>594</v>
      </c>
      <c r="J664" s="10" t="n">
        <v>8</v>
      </c>
      <c r="K664" s="10" t="s">
        <v>602</v>
      </c>
    </row>
    <row r="665" customFormat="false" ht="15" hidden="false" customHeight="false" outlineLevel="0" collapsed="false">
      <c r="A665" s="1" t="s">
        <v>13</v>
      </c>
      <c r="B665" s="1" t="s">
        <v>437</v>
      </c>
      <c r="C665" s="1" t="str">
        <f aca="false">IF(D665="PRE","N/A",
IF(D665="SUP","N/A",
IF(D665="Single-choice",H665,
IF(D665="Single-choice w/ correct",H665,
IF(D665="Series", LEFT(H665,FIND("_",H665)-1) &amp; "_" &amp; MID(H665,FIND("_",H665,FIND("_",H665)+1)+1,999)
)))))</f>
        <v>N/A</v>
      </c>
      <c r="D665" s="6" t="s">
        <v>438</v>
      </c>
      <c r="E665" s="7" t="str">
        <f aca="false">IF(D665="PRE","N/A", 
IF(D665="SUP",I665, 
IF(D665="Single-choice",I665, 
IF(D665="Single-choice w/ correct",I665, 
IF(D665="Series", LEFT(I665, FIND("    ",I665)
))))))</f>
        <v>Family income</v>
      </c>
      <c r="F665" s="8" t="str">
        <f aca="false">IF(D665="PRE",I665,
IF(D665="SUP",I665,
IF(D665="Single-choice","N/A",
IF(D665="Single-choice w/ correct","N/A",
IF(D665="Series", RIGHT(I665, LEN(I665) - FIND("    ",I665)-3
))))))</f>
        <v>Family income</v>
      </c>
      <c r="G665" s="6" t="s">
        <v>16</v>
      </c>
      <c r="H665" s="10" t="s">
        <v>593</v>
      </c>
      <c r="I665" s="9" t="s">
        <v>594</v>
      </c>
      <c r="J665" s="10" t="n">
        <v>9</v>
      </c>
      <c r="K665" s="10" t="s">
        <v>603</v>
      </c>
    </row>
    <row r="666" customFormat="false" ht="15" hidden="false" customHeight="false" outlineLevel="0" collapsed="false">
      <c r="A666" s="1" t="s">
        <v>13</v>
      </c>
      <c r="B666" s="1" t="s">
        <v>437</v>
      </c>
      <c r="C666" s="1" t="str">
        <f aca="false">IF(D666="PRE","N/A",
IF(D666="SUP","N/A",
IF(D666="Single-choice",H666,
IF(D666="Single-choice w/ correct",H666,
IF(D666="Series", LEFT(H666,FIND("_",H666)-1) &amp; "_" &amp; MID(H666,FIND("_",H666,FIND("_",H666)+1)+1,999)
)))))</f>
        <v>N/A</v>
      </c>
      <c r="D666" s="6" t="s">
        <v>438</v>
      </c>
      <c r="E666" s="7" t="str">
        <f aca="false">IF(D666="PRE","N/A", 
IF(D666="SUP",I666, 
IF(D666="Single-choice",I666, 
IF(D666="Single-choice w/ correct",I666, 
IF(D666="Series", LEFT(I666, FIND("    ",I666)
))))))</f>
        <v>Family income</v>
      </c>
      <c r="F666" s="8" t="str">
        <f aca="false">IF(D666="PRE",I666,
IF(D666="SUP",I666,
IF(D666="Single-choice","N/A",
IF(D666="Single-choice w/ correct","N/A",
IF(D666="Series", RIGHT(I666, LEN(I666) - FIND("    ",I666)-3
))))))</f>
        <v>Family income</v>
      </c>
      <c r="G666" s="6" t="s">
        <v>16</v>
      </c>
      <c r="H666" s="10" t="s">
        <v>593</v>
      </c>
      <c r="I666" s="9" t="s">
        <v>594</v>
      </c>
      <c r="J666" s="10" t="n">
        <v>99</v>
      </c>
      <c r="K666" s="10" t="s">
        <v>64</v>
      </c>
    </row>
    <row r="667" customFormat="false" ht="15" hidden="false" customHeight="true" outlineLevel="0" collapsed="false">
      <c r="A667" s="1" t="s">
        <v>13</v>
      </c>
      <c r="B667" s="1" t="s">
        <v>437</v>
      </c>
      <c r="C667" s="1" t="str">
        <f aca="false">IF(D667="PRE","N/A",
IF(D667="SUP","N/A",
IF(D667="Single-choice",H667,
IF(D667="Single-choice w/ correct",H667,
IF(D667="Series", LEFT(H667,FIND("_",H667)-1) &amp; "_" &amp; MID(H667,FIND("_",H667,FIND("_",H667)+1)+1,999)
)))))</f>
        <v>N/A</v>
      </c>
      <c r="D667" s="6" t="s">
        <v>438</v>
      </c>
      <c r="E667" s="7" t="str">
        <f aca="false">IF(D667="PRE","N/A", 
IF(D667="SUP",I667, 
IF(D667="Single-choice",I667, 
IF(D667="Single-choice w/ correct",I667, 
IF(D667="Series", LEFT(I667, FIND("    ",I667)
))))))</f>
        <v>Ideology</v>
      </c>
      <c r="F667" s="8" t="str">
        <f aca="false">IF(D667="PRE",I667,
IF(D667="SUP",I667,
IF(D667="Single-choice","N/A",
IF(D667="Single-choice w/ correct","N/A",
IF(D667="Series", RIGHT(I667, LEN(I667) - FIND("    ",I667)-3
))))))</f>
        <v>Ideology</v>
      </c>
      <c r="G667" s="6" t="s">
        <v>16</v>
      </c>
      <c r="H667" s="6" t="s">
        <v>604</v>
      </c>
      <c r="I667" s="9" t="s">
        <v>605</v>
      </c>
      <c r="J667" s="6" t="n">
        <v>1</v>
      </c>
      <c r="K667" s="6" t="s">
        <v>606</v>
      </c>
    </row>
    <row r="668" customFormat="false" ht="15" hidden="false" customHeight="false" outlineLevel="0" collapsed="false">
      <c r="A668" s="1" t="s">
        <v>13</v>
      </c>
      <c r="B668" s="1" t="s">
        <v>437</v>
      </c>
      <c r="C668" s="1" t="str">
        <f aca="false">IF(D668="PRE","N/A",
IF(D668="SUP","N/A",
IF(D668="Single-choice",H668,
IF(D668="Single-choice w/ correct",H668,
IF(D668="Series", LEFT(H668,FIND("_",H668)-1) &amp; "_" &amp; MID(H668,FIND("_",H668,FIND("_",H668)+1)+1,999)
)))))</f>
        <v>N/A</v>
      </c>
      <c r="D668" s="6" t="s">
        <v>438</v>
      </c>
      <c r="E668" s="7" t="str">
        <f aca="false">IF(D668="PRE","N/A", 
IF(D668="SUP",I668, 
IF(D668="Single-choice",I668, 
IF(D668="Single-choice w/ correct",I668, 
IF(D668="Series", LEFT(I668, FIND("    ",I668)
))))))</f>
        <v>Ideology</v>
      </c>
      <c r="F668" s="8" t="str">
        <f aca="false">IF(D668="PRE",I668,
IF(D668="SUP",I668,
IF(D668="Single-choice","N/A",
IF(D668="Single-choice w/ correct","N/A",
IF(D668="Series", RIGHT(I668, LEN(I668) - FIND("    ",I668)-3
))))))</f>
        <v>Ideology</v>
      </c>
      <c r="G668" s="6" t="s">
        <v>16</v>
      </c>
      <c r="H668" s="10" t="s">
        <v>604</v>
      </c>
      <c r="I668" s="9" t="s">
        <v>605</v>
      </c>
      <c r="J668" s="10" t="n">
        <v>2</v>
      </c>
      <c r="K668" s="10" t="s">
        <v>607</v>
      </c>
    </row>
    <row r="669" customFormat="false" ht="15" hidden="false" customHeight="false" outlineLevel="0" collapsed="false">
      <c r="A669" s="1" t="s">
        <v>13</v>
      </c>
      <c r="B669" s="1" t="s">
        <v>437</v>
      </c>
      <c r="C669" s="1" t="str">
        <f aca="false">IF(D669="PRE","N/A",
IF(D669="SUP","N/A",
IF(D669="Single-choice",H669,
IF(D669="Single-choice w/ correct",H669,
IF(D669="Series", LEFT(H669,FIND("_",H669)-1) &amp; "_" &amp; MID(H669,FIND("_",H669,FIND("_",H669)+1)+1,999)
)))))</f>
        <v>N/A</v>
      </c>
      <c r="D669" s="6" t="s">
        <v>438</v>
      </c>
      <c r="E669" s="7" t="str">
        <f aca="false">IF(D669="PRE","N/A", 
IF(D669="SUP",I669, 
IF(D669="Single-choice",I669, 
IF(D669="Single-choice w/ correct",I669, 
IF(D669="Series", LEFT(I669, FIND("    ",I669)
))))))</f>
        <v>Ideology</v>
      </c>
      <c r="F669" s="8" t="str">
        <f aca="false">IF(D669="PRE",I669,
IF(D669="SUP",I669,
IF(D669="Single-choice","N/A",
IF(D669="Single-choice w/ correct","N/A",
IF(D669="Series", RIGHT(I669, LEN(I669) - FIND("    ",I669)-3
))))))</f>
        <v>Ideology</v>
      </c>
      <c r="G669" s="6" t="s">
        <v>16</v>
      </c>
      <c r="H669" s="10" t="s">
        <v>604</v>
      </c>
      <c r="I669" s="9" t="s">
        <v>605</v>
      </c>
      <c r="J669" s="10" t="n">
        <v>3</v>
      </c>
      <c r="K669" s="10" t="s">
        <v>608</v>
      </c>
    </row>
    <row r="670" customFormat="false" ht="15" hidden="false" customHeight="false" outlineLevel="0" collapsed="false">
      <c r="A670" s="1" t="s">
        <v>13</v>
      </c>
      <c r="B670" s="1" t="s">
        <v>437</v>
      </c>
      <c r="C670" s="1" t="str">
        <f aca="false">IF(D670="PRE","N/A",
IF(D670="SUP","N/A",
IF(D670="Single-choice",H670,
IF(D670="Single-choice w/ correct",H670,
IF(D670="Series", LEFT(H670,FIND("_",H670)-1) &amp; "_" &amp; MID(H670,FIND("_",H670,FIND("_",H670)+1)+1,999)
)))))</f>
        <v>N/A</v>
      </c>
      <c r="D670" s="6" t="s">
        <v>438</v>
      </c>
      <c r="E670" s="7" t="str">
        <f aca="false">IF(D670="PRE","N/A", 
IF(D670="SUP",I670, 
IF(D670="Single-choice",I670, 
IF(D670="Single-choice w/ correct",I670, 
IF(D670="Series", LEFT(I670, FIND("    ",I670)
))))))</f>
        <v>Ideology</v>
      </c>
      <c r="F670" s="8" t="str">
        <f aca="false">IF(D670="PRE",I670,
IF(D670="SUP",I670,
IF(D670="Single-choice","N/A",
IF(D670="Single-choice w/ correct","N/A",
IF(D670="Series", RIGHT(I670, LEN(I670) - FIND("    ",I670)-3
))))))</f>
        <v>Ideology</v>
      </c>
      <c r="G670" s="6" t="s">
        <v>16</v>
      </c>
      <c r="H670" s="10" t="s">
        <v>604</v>
      </c>
      <c r="I670" s="9" t="s">
        <v>605</v>
      </c>
      <c r="J670" s="10" t="n">
        <v>4</v>
      </c>
      <c r="K670" s="10" t="s">
        <v>609</v>
      </c>
    </row>
    <row r="671" customFormat="false" ht="15" hidden="false" customHeight="false" outlineLevel="0" collapsed="false">
      <c r="A671" s="1" t="s">
        <v>13</v>
      </c>
      <c r="B671" s="1" t="s">
        <v>437</v>
      </c>
      <c r="C671" s="1" t="str">
        <f aca="false">IF(D671="PRE","N/A",
IF(D671="SUP","N/A",
IF(D671="Single-choice",H671,
IF(D671="Single-choice w/ correct",H671,
IF(D671="Series", LEFT(H671,FIND("_",H671)-1) &amp; "_" &amp; MID(H671,FIND("_",H671,FIND("_",H671)+1)+1,999)
)))))</f>
        <v>N/A</v>
      </c>
      <c r="D671" s="6" t="s">
        <v>438</v>
      </c>
      <c r="E671" s="7" t="str">
        <f aca="false">IF(D671="PRE","N/A", 
IF(D671="SUP",I671, 
IF(D671="Single-choice",I671, 
IF(D671="Single-choice w/ correct",I671, 
IF(D671="Series", LEFT(I671, FIND("    ",I671)
))))))</f>
        <v>Ideology</v>
      </c>
      <c r="F671" s="8" t="str">
        <f aca="false">IF(D671="PRE",I671,
IF(D671="SUP",I671,
IF(D671="Single-choice","N/A",
IF(D671="Single-choice w/ correct","N/A",
IF(D671="Series", RIGHT(I671, LEN(I671) - FIND("    ",I671)-3
))))))</f>
        <v>Ideology</v>
      </c>
      <c r="G671" s="6" t="s">
        <v>16</v>
      </c>
      <c r="H671" s="10" t="s">
        <v>604</v>
      </c>
      <c r="I671" s="9" t="s">
        <v>605</v>
      </c>
      <c r="J671" s="10" t="n">
        <v>5</v>
      </c>
      <c r="K671" s="10" t="s">
        <v>610</v>
      </c>
    </row>
    <row r="672" customFormat="false" ht="15" hidden="false" customHeight="false" outlineLevel="0" collapsed="false">
      <c r="A672" s="1" t="s">
        <v>13</v>
      </c>
      <c r="B672" s="1" t="s">
        <v>437</v>
      </c>
      <c r="C672" s="1" t="str">
        <f aca="false">IF(D672="PRE","N/A",
IF(D672="SUP","N/A",
IF(D672="Single-choice",H672,
IF(D672="Single-choice w/ correct",H672,
IF(D672="Series", LEFT(H672,FIND("_",H672)-1) &amp; "_" &amp; MID(H672,FIND("_",H672,FIND("_",H672)+1)+1,999)
)))))</f>
        <v>N/A</v>
      </c>
      <c r="D672" s="6" t="s">
        <v>438</v>
      </c>
      <c r="E672" s="7" t="str">
        <f aca="false">IF(D672="PRE","N/A", 
IF(D672="SUP",I672, 
IF(D672="Single-choice",I672, 
IF(D672="Single-choice w/ correct",I672, 
IF(D672="Series", LEFT(I672, FIND("    ",I672)
))))))</f>
        <v>Ideology</v>
      </c>
      <c r="F672" s="8" t="str">
        <f aca="false">IF(D672="PRE",I672,
IF(D672="SUP",I672,
IF(D672="Single-choice","N/A",
IF(D672="Single-choice w/ correct","N/A",
IF(D672="Series", RIGHT(I672, LEN(I672) - FIND("    ",I672)-3
))))))</f>
        <v>Ideology</v>
      </c>
      <c r="G672" s="6" t="s">
        <v>16</v>
      </c>
      <c r="H672" s="10" t="s">
        <v>604</v>
      </c>
      <c r="I672" s="9" t="s">
        <v>605</v>
      </c>
      <c r="J672" s="10" t="n">
        <v>99</v>
      </c>
      <c r="K672" s="10" t="s">
        <v>64</v>
      </c>
    </row>
    <row r="673" customFormat="false" ht="15" hidden="false" customHeight="true" outlineLevel="0" collapsed="false">
      <c r="A673" s="1" t="s">
        <v>13</v>
      </c>
      <c r="B673" s="1" t="s">
        <v>437</v>
      </c>
      <c r="C673" s="1" t="str">
        <f aca="false">IF(D673="PRE","N/A",
IF(D673="SUP","N/A",
IF(D673="Single-choice",H673,
IF(D673="Single-choice w/ correct",H673,
IF(D673="Series", LEFT(H673,FIND("_",H673)-1) &amp; "_" &amp; MID(H673,FIND("_",H673,FIND("_",H673)+1)+1,999)
)))))</f>
        <v>N/A</v>
      </c>
      <c r="D673" s="6" t="s">
        <v>438</v>
      </c>
      <c r="E673" s="7" t="str">
        <f aca="false">IF(D673="PRE","N/A", 
IF(D673="SUP",I673, 
IF(D673="Single-choice",I673, 
IF(D673="Single-choice w/ correct",I673, 
IF(D673="Series", LEFT(I673, FIND("    ",I673)
))))))</f>
        <v>Frequency of internet use</v>
      </c>
      <c r="F673" s="8" t="str">
        <f aca="false">IF(D673="PRE",I673,
IF(D673="SUP",I673,
IF(D673="Single-choice","N/A",
IF(D673="Single-choice w/ correct","N/A",
IF(D673="Series", RIGHT(I673, LEN(I673) - FIND("    ",I673)-3
))))))</f>
        <v>Frequency of internet use</v>
      </c>
      <c r="G673" s="6" t="s">
        <v>16</v>
      </c>
      <c r="H673" s="6" t="s">
        <v>611</v>
      </c>
      <c r="I673" s="9" t="s">
        <v>612</v>
      </c>
      <c r="J673" s="6" t="n">
        <v>1</v>
      </c>
      <c r="K673" s="6" t="s">
        <v>613</v>
      </c>
    </row>
    <row r="674" customFormat="false" ht="15" hidden="false" customHeight="false" outlineLevel="0" collapsed="false">
      <c r="A674" s="1" t="s">
        <v>13</v>
      </c>
      <c r="B674" s="1" t="s">
        <v>437</v>
      </c>
      <c r="C674" s="1" t="str">
        <f aca="false">IF(D674="PRE","N/A",
IF(D674="SUP","N/A",
IF(D674="Single-choice",H674,
IF(D674="Single-choice w/ correct",H674,
IF(D674="Series", LEFT(H674,FIND("_",H674)-1) &amp; "_" &amp; MID(H674,FIND("_",H674,FIND("_",H674)+1)+1,999)
)))))</f>
        <v>N/A</v>
      </c>
      <c r="D674" s="6" t="s">
        <v>438</v>
      </c>
      <c r="E674" s="7" t="str">
        <f aca="false">IF(D674="PRE","N/A", 
IF(D674="SUP",I674, 
IF(D674="Single-choice",I674, 
IF(D674="Single-choice w/ correct",I674, 
IF(D674="Series", LEFT(I674, FIND("    ",I674)
))))))</f>
        <v>Frequency of internet use</v>
      </c>
      <c r="F674" s="8" t="str">
        <f aca="false">IF(D674="PRE",I674,
IF(D674="SUP",I674,
IF(D674="Single-choice","N/A",
IF(D674="Single-choice w/ correct","N/A",
IF(D674="Series", RIGHT(I674, LEN(I674) - FIND("    ",I674)-3
))))))</f>
        <v>Frequency of internet use</v>
      </c>
      <c r="G674" s="6" t="s">
        <v>16</v>
      </c>
      <c r="H674" s="10" t="s">
        <v>611</v>
      </c>
      <c r="I674" s="9" t="s">
        <v>612</v>
      </c>
      <c r="J674" s="10" t="n">
        <v>2</v>
      </c>
      <c r="K674" s="10" t="s">
        <v>614</v>
      </c>
    </row>
    <row r="675" customFormat="false" ht="15" hidden="false" customHeight="false" outlineLevel="0" collapsed="false">
      <c r="A675" s="1" t="s">
        <v>13</v>
      </c>
      <c r="B675" s="1" t="s">
        <v>437</v>
      </c>
      <c r="C675" s="1" t="str">
        <f aca="false">IF(D675="PRE","N/A",
IF(D675="SUP","N/A",
IF(D675="Single-choice",H675,
IF(D675="Single-choice w/ correct",H675,
IF(D675="Series", LEFT(H675,FIND("_",H675)-1) &amp; "_" &amp; MID(H675,FIND("_",H675,FIND("_",H675)+1)+1,999)
)))))</f>
        <v>N/A</v>
      </c>
      <c r="D675" s="6" t="s">
        <v>438</v>
      </c>
      <c r="E675" s="7" t="str">
        <f aca="false">IF(D675="PRE","N/A", 
IF(D675="SUP",I675, 
IF(D675="Single-choice",I675, 
IF(D675="Single-choice w/ correct",I675, 
IF(D675="Series", LEFT(I675, FIND("    ",I675)
))))))</f>
        <v>Frequency of internet use</v>
      </c>
      <c r="F675" s="8" t="str">
        <f aca="false">IF(D675="PRE",I675,
IF(D675="SUP",I675,
IF(D675="Single-choice","N/A",
IF(D675="Single-choice w/ correct","N/A",
IF(D675="Series", RIGHT(I675, LEN(I675) - FIND("    ",I675)-3
))))))</f>
        <v>Frequency of internet use</v>
      </c>
      <c r="G675" s="6" t="s">
        <v>16</v>
      </c>
      <c r="H675" s="10" t="s">
        <v>611</v>
      </c>
      <c r="I675" s="9" t="s">
        <v>612</v>
      </c>
      <c r="J675" s="10" t="n">
        <v>3</v>
      </c>
      <c r="K675" s="10" t="s">
        <v>615</v>
      </c>
    </row>
    <row r="676" customFormat="false" ht="15" hidden="false" customHeight="false" outlineLevel="0" collapsed="false">
      <c r="A676" s="1" t="s">
        <v>13</v>
      </c>
      <c r="B676" s="1" t="s">
        <v>437</v>
      </c>
      <c r="C676" s="1" t="str">
        <f aca="false">IF(D676="PRE","N/A",
IF(D676="SUP","N/A",
IF(D676="Single-choice",H676,
IF(D676="Single-choice w/ correct",H676,
IF(D676="Series", LEFT(H676,FIND("_",H676)-1) &amp; "_" &amp; MID(H676,FIND("_",H676,FIND("_",H676)+1)+1,999)
)))))</f>
        <v>N/A</v>
      </c>
      <c r="D676" s="6" t="s">
        <v>438</v>
      </c>
      <c r="E676" s="7" t="str">
        <f aca="false">IF(D676="PRE","N/A", 
IF(D676="SUP",I676, 
IF(D676="Single-choice",I676, 
IF(D676="Single-choice w/ correct",I676, 
IF(D676="Series", LEFT(I676, FIND("    ",I676)
))))))</f>
        <v>Frequency of internet use</v>
      </c>
      <c r="F676" s="8" t="str">
        <f aca="false">IF(D676="PRE",I676,
IF(D676="SUP",I676,
IF(D676="Single-choice","N/A",
IF(D676="Single-choice w/ correct","N/A",
IF(D676="Series", RIGHT(I676, LEN(I676) - FIND("    ",I676)-3
))))))</f>
        <v>Frequency of internet use</v>
      </c>
      <c r="G676" s="6" t="s">
        <v>16</v>
      </c>
      <c r="H676" s="10" t="s">
        <v>611</v>
      </c>
      <c r="I676" s="9" t="s">
        <v>612</v>
      </c>
      <c r="J676" s="10" t="n">
        <v>4</v>
      </c>
      <c r="K676" s="10" t="s">
        <v>616</v>
      </c>
    </row>
    <row r="677" customFormat="false" ht="15" hidden="false" customHeight="false" outlineLevel="0" collapsed="false">
      <c r="A677" s="1" t="s">
        <v>13</v>
      </c>
      <c r="B677" s="1" t="s">
        <v>437</v>
      </c>
      <c r="C677" s="1" t="str">
        <f aca="false">IF(D677="PRE","N/A",
IF(D677="SUP","N/A",
IF(D677="Single-choice",H677,
IF(D677="Single-choice w/ correct",H677,
IF(D677="Series", LEFT(H677,FIND("_",H677)-1) &amp; "_" &amp; MID(H677,FIND("_",H677,FIND("_",H677)+1)+1,999)
)))))</f>
        <v>N/A</v>
      </c>
      <c r="D677" s="6" t="s">
        <v>438</v>
      </c>
      <c r="E677" s="7" t="str">
        <f aca="false">IF(D677="PRE","N/A", 
IF(D677="SUP",I677, 
IF(D677="Single-choice",I677, 
IF(D677="Single-choice w/ correct",I677, 
IF(D677="Series", LEFT(I677, FIND("    ",I677)
))))))</f>
        <v>Frequency of internet use</v>
      </c>
      <c r="F677" s="8" t="str">
        <f aca="false">IF(D677="PRE",I677,
IF(D677="SUP",I677,
IF(D677="Single-choice","N/A",
IF(D677="Single-choice w/ correct","N/A",
IF(D677="Series", RIGHT(I677, LEN(I677) - FIND("    ",I677)-3
))))))</f>
        <v>Frequency of internet use</v>
      </c>
      <c r="G677" s="6" t="s">
        <v>16</v>
      </c>
      <c r="H677" s="10" t="s">
        <v>611</v>
      </c>
      <c r="I677" s="9" t="s">
        <v>612</v>
      </c>
      <c r="J677" s="10" t="n">
        <v>5</v>
      </c>
      <c r="K677" s="10" t="s">
        <v>617</v>
      </c>
    </row>
    <row r="678" customFormat="false" ht="15" hidden="false" customHeight="false" outlineLevel="0" collapsed="false">
      <c r="A678" s="1" t="s">
        <v>13</v>
      </c>
      <c r="B678" s="1" t="s">
        <v>437</v>
      </c>
      <c r="C678" s="1" t="str">
        <f aca="false">IF(D678="PRE","N/A",
IF(D678="SUP","N/A",
IF(D678="Single-choice",H678,
IF(D678="Single-choice w/ correct",H678,
IF(D678="Series", LEFT(H678,FIND("_",H678)-1) &amp; "_" &amp; MID(H678,FIND("_",H678,FIND("_",H678)+1)+1,999)
)))))</f>
        <v>N/A</v>
      </c>
      <c r="D678" s="6" t="s">
        <v>438</v>
      </c>
      <c r="E678" s="7" t="str">
        <f aca="false">IF(D678="PRE","N/A", 
IF(D678="SUP",I678, 
IF(D678="Single-choice",I678, 
IF(D678="Single-choice w/ correct",I678, 
IF(D678="Series", LEFT(I678, FIND("    ",I678)
))))))</f>
        <v>Frequency of internet use</v>
      </c>
      <c r="F678" s="8" t="str">
        <f aca="false">IF(D678="PRE",I678,
IF(D678="SUP",I678,
IF(D678="Single-choice","N/A",
IF(D678="Single-choice w/ correct","N/A",
IF(D678="Series", RIGHT(I678, LEN(I678) - FIND("    ",I678)-3
))))))</f>
        <v>Frequency of internet use</v>
      </c>
      <c r="G678" s="6" t="s">
        <v>16</v>
      </c>
      <c r="H678" s="10" t="s">
        <v>611</v>
      </c>
      <c r="I678" s="9" t="s">
        <v>612</v>
      </c>
      <c r="J678" s="10" t="n">
        <v>99</v>
      </c>
      <c r="K678" s="10" t="s">
        <v>64</v>
      </c>
    </row>
    <row r="679" customFormat="false" ht="15" hidden="false" customHeight="true" outlineLevel="0" collapsed="false">
      <c r="A679" s="1" t="s">
        <v>13</v>
      </c>
      <c r="B679" s="1" t="s">
        <v>437</v>
      </c>
      <c r="C679" s="1" t="str">
        <f aca="false">IF(D679="PRE","N/A",
IF(D679="SUP","N/A",
IF(D679="Single-choice",H679,
IF(D679="Single-choice w/ correct",H679,
IF(D679="Series", LEFT(H679,FIND("_",H679)-1) &amp; "_" &amp; MID(H679,FIND("_",H679,FIND("_",H679)+1)+1,999)
)))))</f>
        <v>N/A</v>
      </c>
      <c r="D679" s="6" t="s">
        <v>438</v>
      </c>
      <c r="E679" s="7" t="str">
        <f aca="false">IF(D679="PRE","N/A", 
IF(D679="SUP",I679, 
IF(D679="Single-choice",I679, 
IF(D679="Single-choice w/ correct",I679, 
IF(D679="Series", LEFT(I679, FIND("    ",I679)
))))))</f>
        <v>Volunteerism status</v>
      </c>
      <c r="F679" s="8" t="str">
        <f aca="false">IF(D679="PRE",I679,
IF(D679="SUP",I679,
IF(D679="Single-choice","N/A",
IF(D679="Single-choice w/ correct","N/A",
IF(D679="Series", RIGHT(I679, LEN(I679) - FIND("    ",I679)-3
))))))</f>
        <v>Volunteerism status</v>
      </c>
      <c r="G679" s="6" t="s">
        <v>16</v>
      </c>
      <c r="H679" s="6" t="s">
        <v>618</v>
      </c>
      <c r="I679" s="9" t="s">
        <v>619</v>
      </c>
      <c r="J679" s="6" t="n">
        <v>1</v>
      </c>
      <c r="K679" s="6" t="s">
        <v>269</v>
      </c>
    </row>
    <row r="680" customFormat="false" ht="15" hidden="false" customHeight="false" outlineLevel="0" collapsed="false">
      <c r="A680" s="1" t="s">
        <v>13</v>
      </c>
      <c r="B680" s="1" t="s">
        <v>437</v>
      </c>
      <c r="C680" s="1" t="str">
        <f aca="false">IF(D680="PRE","N/A",
IF(D680="SUP","N/A",
IF(D680="Single-choice",H680,
IF(D680="Single-choice w/ correct",H680,
IF(D680="Series", LEFT(H680,FIND("_",H680)-1) &amp; "_" &amp; MID(H680,FIND("_",H680,FIND("_",H680)+1)+1,999)
)))))</f>
        <v>N/A</v>
      </c>
      <c r="D680" s="6" t="s">
        <v>438</v>
      </c>
      <c r="E680" s="7" t="str">
        <f aca="false">IF(D680="PRE","N/A", 
IF(D680="SUP",I680, 
IF(D680="Single-choice",I680, 
IF(D680="Single-choice w/ correct",I680, 
IF(D680="Series", LEFT(I680, FIND("    ",I680)
))))))</f>
        <v>Volunteerism status</v>
      </c>
      <c r="F680" s="8" t="str">
        <f aca="false">IF(D680="PRE",I680,
IF(D680="SUP",I680,
IF(D680="Single-choice","N/A",
IF(D680="Single-choice w/ correct","N/A",
IF(D680="Series", RIGHT(I680, LEN(I680) - FIND("    ",I680)-3
))))))</f>
        <v>Volunteerism status</v>
      </c>
      <c r="G680" s="6" t="s">
        <v>16</v>
      </c>
      <c r="H680" s="10" t="s">
        <v>618</v>
      </c>
      <c r="I680" s="9" t="s">
        <v>619</v>
      </c>
      <c r="J680" s="10" t="n">
        <v>2</v>
      </c>
      <c r="K680" s="10" t="s">
        <v>270</v>
      </c>
    </row>
    <row r="681" customFormat="false" ht="15" hidden="false" customHeight="false" outlineLevel="0" collapsed="false">
      <c r="A681" s="1" t="s">
        <v>13</v>
      </c>
      <c r="B681" s="1" t="s">
        <v>437</v>
      </c>
      <c r="C681" s="1" t="str">
        <f aca="false">IF(D681="PRE","N/A",
IF(D681="SUP","N/A",
IF(D681="Single-choice",H681,
IF(D681="Single-choice w/ correct",H681,
IF(D681="Series", LEFT(H681,FIND("_",H681)-1) &amp; "_" &amp; MID(H681,FIND("_",H681,FIND("_",H681)+1)+1,999)
)))))</f>
        <v>N/A</v>
      </c>
      <c r="D681" s="6" t="s">
        <v>438</v>
      </c>
      <c r="E681" s="7" t="str">
        <f aca="false">IF(D681="PRE","N/A", 
IF(D681="SUP",I681, 
IF(D681="Single-choice",I681, 
IF(D681="Single-choice w/ correct",I681, 
IF(D681="Series", LEFT(I681, FIND("    ",I681)
))))))</f>
        <v>Volunteerism status</v>
      </c>
      <c r="F681" s="8" t="str">
        <f aca="false">IF(D681="PRE",I681,
IF(D681="SUP",I681,
IF(D681="Single-choice","N/A",
IF(D681="Single-choice w/ correct","N/A",
IF(D681="Series", RIGHT(I681, LEN(I681) - FIND("    ",I681)-3
))))))</f>
        <v>Volunteerism status</v>
      </c>
      <c r="G681" s="6" t="s">
        <v>16</v>
      </c>
      <c r="H681" s="10" t="s">
        <v>618</v>
      </c>
      <c r="I681" s="9" t="s">
        <v>619</v>
      </c>
      <c r="J681" s="10" t="n">
        <v>99</v>
      </c>
      <c r="K681" s="10" t="s">
        <v>64</v>
      </c>
    </row>
    <row r="682" customFormat="false" ht="15" hidden="false" customHeight="true" outlineLevel="0" collapsed="false">
      <c r="A682" s="1" t="s">
        <v>13</v>
      </c>
      <c r="B682" s="1" t="s">
        <v>437</v>
      </c>
      <c r="C682" s="1" t="str">
        <f aca="false">IF(D682="PRE","N/A",
IF(D682="SUP","N/A",
IF(D682="Single-choice",H682,
IF(D682="Single-choice w/ correct",H682,
IF(D682="Series", LEFT(H682,FIND("_",H682)-1) &amp; "_" &amp; MID(H682,FIND("_",H682,FIND("_",H682)+1)+1,999)
)))))</f>
        <v>N/A</v>
      </c>
      <c r="D682" s="6" t="s">
        <v>438</v>
      </c>
      <c r="E682" s="7" t="str">
        <f aca="false">IF(D682="PRE","N/A", 
IF(D682="SUP",I682, 
IF(D682="Single-choice",I682, 
IF(D682="Single-choice w/ correct",I682, 
IF(D682="Series", LEFT(I682, FIND("    ",I682)
))))))</f>
        <v>Income tier 3-way</v>
      </c>
      <c r="F682" s="8" t="str">
        <f aca="false">IF(D682="PRE",I682,
IF(D682="SUP",I682,
IF(D682="Single-choice","N/A",
IF(D682="Single-choice w/ correct","N/A",
IF(D682="Series", RIGHT(I682, LEN(I682) - FIND("    ",I682)-3
))))))</f>
        <v>Income tier 3-way</v>
      </c>
      <c r="G682" s="6" t="s">
        <v>16</v>
      </c>
      <c r="H682" s="6" t="s">
        <v>620</v>
      </c>
      <c r="I682" s="9" t="s">
        <v>621</v>
      </c>
      <c r="J682" s="6" t="n">
        <v>1</v>
      </c>
      <c r="K682" s="6" t="s">
        <v>622</v>
      </c>
    </row>
    <row r="683" customFormat="false" ht="15" hidden="false" customHeight="false" outlineLevel="0" collapsed="false">
      <c r="A683" s="1" t="s">
        <v>13</v>
      </c>
      <c r="B683" s="1" t="s">
        <v>437</v>
      </c>
      <c r="C683" s="1" t="str">
        <f aca="false">IF(D683="PRE","N/A",
IF(D683="SUP","N/A",
IF(D683="Single-choice",H683,
IF(D683="Single-choice w/ correct",H683,
IF(D683="Series", LEFT(H683,FIND("_",H683)-1) &amp; "_" &amp; MID(H683,FIND("_",H683,FIND("_",H683)+1)+1,999)
)))))</f>
        <v>N/A</v>
      </c>
      <c r="D683" s="6" t="s">
        <v>438</v>
      </c>
      <c r="E683" s="7" t="str">
        <f aca="false">IF(D683="PRE","N/A", 
IF(D683="SUP",I683, 
IF(D683="Single-choice",I683, 
IF(D683="Single-choice w/ correct",I683, 
IF(D683="Series", LEFT(I683, FIND("    ",I683)
))))))</f>
        <v>Income tier 3-way</v>
      </c>
      <c r="F683" s="8" t="str">
        <f aca="false">IF(D683="PRE",I683,
IF(D683="SUP",I683,
IF(D683="Single-choice","N/A",
IF(D683="Single-choice w/ correct","N/A",
IF(D683="Series", RIGHT(I683, LEN(I683) - FIND("    ",I683)-3
))))))</f>
        <v>Income tier 3-way</v>
      </c>
      <c r="G683" s="6" t="s">
        <v>16</v>
      </c>
      <c r="H683" s="10" t="s">
        <v>620</v>
      </c>
      <c r="I683" s="9" t="s">
        <v>621</v>
      </c>
      <c r="J683" s="10" t="n">
        <v>2</v>
      </c>
      <c r="K683" s="10" t="s">
        <v>623</v>
      </c>
    </row>
    <row r="684" customFormat="false" ht="15" hidden="false" customHeight="false" outlineLevel="0" collapsed="false">
      <c r="A684" s="1" t="s">
        <v>13</v>
      </c>
      <c r="B684" s="1" t="s">
        <v>437</v>
      </c>
      <c r="C684" s="1" t="str">
        <f aca="false">IF(D684="PRE","N/A",
IF(D684="SUP","N/A",
IF(D684="Single-choice",H684,
IF(D684="Single-choice w/ correct",H684,
IF(D684="Series", LEFT(H684,FIND("_",H684)-1) &amp; "_" &amp; MID(H684,FIND("_",H684,FIND("_",H684)+1)+1,999)
)))))</f>
        <v>N/A</v>
      </c>
      <c r="D684" s="6" t="s">
        <v>438</v>
      </c>
      <c r="E684" s="7" t="str">
        <f aca="false">IF(D684="PRE","N/A", 
IF(D684="SUP",I684, 
IF(D684="Single-choice",I684, 
IF(D684="Single-choice w/ correct",I684, 
IF(D684="Series", LEFT(I684, FIND("    ",I684)
))))))</f>
        <v>Income tier 3-way</v>
      </c>
      <c r="F684" s="8" t="str">
        <f aca="false">IF(D684="PRE",I684,
IF(D684="SUP",I684,
IF(D684="Single-choice","N/A",
IF(D684="Single-choice w/ correct","N/A",
IF(D684="Series", RIGHT(I684, LEN(I684) - FIND("    ",I684)-3
))))))</f>
        <v>Income tier 3-way</v>
      </c>
      <c r="G684" s="6" t="s">
        <v>16</v>
      </c>
      <c r="H684" s="10" t="s">
        <v>620</v>
      </c>
      <c r="I684" s="9" t="s">
        <v>621</v>
      </c>
      <c r="J684" s="10" t="n">
        <v>3</v>
      </c>
      <c r="K684" s="10" t="s">
        <v>624</v>
      </c>
    </row>
    <row r="685" customFormat="false" ht="15" hidden="false" customHeight="false" outlineLevel="0" collapsed="false">
      <c r="A685" s="1" t="s">
        <v>13</v>
      </c>
      <c r="B685" s="1" t="s">
        <v>437</v>
      </c>
      <c r="C685" s="1" t="str">
        <f aca="false">IF(D685="PRE","N/A",
IF(D685="SUP","N/A",
IF(D685="Single-choice",H685,
IF(D685="Single-choice w/ correct",H685,
IF(D685="Series", LEFT(H685,FIND("_",H685)-1) &amp; "_" &amp; MID(H685,FIND("_",H685,FIND("_",H685)+1)+1,999)
)))))</f>
        <v>N/A</v>
      </c>
      <c r="D685" s="6" t="s">
        <v>438</v>
      </c>
      <c r="E685" s="7" t="str">
        <f aca="false">IF(D685="PRE","N/A", 
IF(D685="SUP",I685, 
IF(D685="Single-choice",I685, 
IF(D685="Single-choice w/ correct",I685, 
IF(D685="Series", LEFT(I685, FIND("    ",I685)
))))))</f>
        <v>Income tier 3-way</v>
      </c>
      <c r="F685" s="8" t="str">
        <f aca="false">IF(D685="PRE",I685,
IF(D685="SUP",I685,
IF(D685="Single-choice","N/A",
IF(D685="Single-choice w/ correct","N/A",
IF(D685="Series", RIGHT(I685, LEN(I685) - FIND("    ",I685)-3
))))))</f>
        <v>Income tier 3-way</v>
      </c>
      <c r="G685" s="6" t="s">
        <v>16</v>
      </c>
      <c r="H685" s="10" t="s">
        <v>620</v>
      </c>
      <c r="I685" s="9" t="s">
        <v>621</v>
      </c>
      <c r="J685" s="10" t="n">
        <v>99</v>
      </c>
      <c r="K685" s="10" t="s">
        <v>64</v>
      </c>
    </row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2024-10-22T19:55:17Z</dcterms:created>
  <dc:creator>dpopky2</dc:creator>
  <dc:description/>
  <dc:language>en-US</dc:language>
  <cp:lastModifiedBy/>
  <dcterms:modified xsi:type="dcterms:W3CDTF">2025-11-16T17:05:12Z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